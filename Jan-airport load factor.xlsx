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defaultThemeVersion="202300"/>
  <mc:AlternateContent xmlns:mc="http://schemas.openxmlformats.org/markup-compatibility/2006">
    <mc:Choice Requires="x15">
      <x15ac:absPath xmlns:x15ac="http://schemas.microsoft.com/office/spreadsheetml/2010/11/ac" url="D:\Proect Airport\"/>
    </mc:Choice>
  </mc:AlternateContent>
  <xr:revisionPtr revIDLastSave="0" documentId="13_ncr:1_{E0534AE0-06F1-4653-AE2A-50EDDE10CCEE}" xr6:coauthVersionLast="47" xr6:coauthVersionMax="47" xr10:uidLastSave="{00000000-0000-0000-0000-000000000000}"/>
  <bookViews>
    <workbookView xWindow="-120" yWindow="-120" windowWidth="29040" windowHeight="15960" activeTab="3" xr2:uid="{00000000-000D-0000-FFFF-FFFF00000000}"/>
  </bookViews>
  <sheets>
    <sheet name="RawData" sheetId="3" r:id="rId1"/>
    <sheet name="Query-CleanedData" sheetId="1" r:id="rId2"/>
    <sheet name="Analysis" sheetId="6" r:id="rId3"/>
    <sheet name="Dashboard" sheetId="5" r:id="rId4"/>
  </sheets>
  <definedNames>
    <definedName name="_xlnm._FilterDatabase" localSheetId="1" hidden="1">'Query-CleanedData'!$A$1:$K$161</definedName>
    <definedName name="_xlnm._FilterDatabase" localSheetId="0" hidden="1">RawData!$A$1:$AH$161</definedName>
    <definedName name="Slicer_WeekNum">#N/A</definedName>
  </definedNames>
  <calcPr calcId="191029"/>
  <pivotCaches>
    <pivotCache cacheId="1285" r:id="rId5"/>
    <pivotCache cacheId="1306" r:id="rId6"/>
    <pivotCache cacheId="1309" r:id="rId7"/>
    <pivotCache cacheId="1312" r:id="rId8"/>
    <pivotCache cacheId="1315" r:id="rId9"/>
    <pivotCache cacheId="1318" r:id="rId10"/>
    <pivotCache cacheId="1321" r:id="rId11"/>
  </pivotCaches>
  <extLst>
    <ext xmlns:x14="http://schemas.microsoft.com/office/spreadsheetml/2009/9/main" uri="{876F7934-8845-4945-9796-88D515C7AA90}">
      <x14:pivotCaches>
        <pivotCache cacheId="545" r:id="rId12"/>
      </x14:pivotCaches>
    </ex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FltLoadJanuary2026_bd83381e-bba2-4a91-8594-a7e403148fdc" name="FltLoadJanuary2026" connection="Query - FltLoadJanuary2026"/>
          <x15:modelTable id="2026_7ac8ac06-2a0f-489a-a9af-7cf9513240a4" name="2026" connection="Excel Year 2026 Master"/>
          <x15:modelTable id="Calendar" name="Calendar" connection="Connection"/>
        </x15:modelTables>
        <x15:modelRelationships>
          <x15:modelRelationship fromTable="FltLoadJanuary2026" fromColumn="A Date" toTable="2026"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62" i="1" l="1"/>
  <c r="AA161" i="3"/>
  <c r="T161" i="3"/>
  <c r="I161" i="3"/>
  <c r="AA160" i="3"/>
  <c r="T160" i="3"/>
  <c r="I160" i="3"/>
  <c r="AA159" i="3"/>
  <c r="T159" i="3"/>
  <c r="I159" i="3"/>
  <c r="AA158" i="3"/>
  <c r="T158" i="3"/>
  <c r="I158" i="3"/>
  <c r="AA157" i="3"/>
  <c r="T157" i="3"/>
  <c r="I157" i="3"/>
  <c r="AA156" i="3"/>
  <c r="T156" i="3"/>
  <c r="I156" i="3"/>
  <c r="AA155" i="3"/>
  <c r="T155" i="3"/>
  <c r="I155" i="3"/>
  <c r="AA154" i="3"/>
  <c r="T154" i="3"/>
  <c r="I154" i="3"/>
  <c r="AA153" i="3"/>
  <c r="T153" i="3"/>
  <c r="I153" i="3"/>
  <c r="AA152" i="3"/>
  <c r="T152" i="3"/>
  <c r="I152" i="3"/>
  <c r="AA151" i="3"/>
  <c r="T151" i="3"/>
  <c r="I151" i="3"/>
  <c r="AA150" i="3"/>
  <c r="T150" i="3"/>
  <c r="I150" i="3"/>
  <c r="AA149" i="3"/>
  <c r="T149" i="3"/>
  <c r="I149" i="3"/>
  <c r="AA148" i="3"/>
  <c r="T148" i="3"/>
  <c r="I148" i="3"/>
  <c r="AA147" i="3"/>
  <c r="T147" i="3"/>
  <c r="I147" i="3"/>
  <c r="AA146" i="3"/>
  <c r="T146" i="3"/>
  <c r="I146" i="3"/>
  <c r="AA145" i="3"/>
  <c r="T145" i="3"/>
  <c r="I145" i="3"/>
  <c r="AA144" i="3"/>
  <c r="T144" i="3"/>
  <c r="I144" i="3"/>
  <c r="AA143" i="3"/>
  <c r="T143" i="3"/>
  <c r="I143" i="3"/>
  <c r="AA142" i="3"/>
  <c r="T142" i="3"/>
  <c r="I142" i="3"/>
  <c r="AA141" i="3"/>
  <c r="T141" i="3"/>
  <c r="I141" i="3"/>
  <c r="AA140" i="3"/>
  <c r="T140" i="3"/>
  <c r="I140" i="3"/>
  <c r="AA139" i="3"/>
  <c r="T139" i="3"/>
  <c r="I139" i="3"/>
  <c r="AA138" i="3"/>
  <c r="T138" i="3"/>
  <c r="I138" i="3"/>
  <c r="AA137" i="3"/>
  <c r="T137" i="3"/>
  <c r="I137" i="3"/>
  <c r="AA136" i="3"/>
  <c r="T136" i="3"/>
  <c r="I136" i="3"/>
  <c r="AA135" i="3"/>
  <c r="T135" i="3"/>
  <c r="I135" i="3"/>
  <c r="AA134" i="3"/>
  <c r="T134" i="3"/>
  <c r="I134" i="3"/>
  <c r="AA133" i="3"/>
  <c r="T133" i="3"/>
  <c r="I133" i="3"/>
  <c r="AA132" i="3"/>
  <c r="T132" i="3"/>
  <c r="I132" i="3"/>
  <c r="AA131" i="3"/>
  <c r="T131" i="3"/>
  <c r="I131" i="3"/>
  <c r="AA130" i="3"/>
  <c r="T130" i="3"/>
  <c r="I130" i="3"/>
  <c r="AA129" i="3"/>
  <c r="T129" i="3"/>
  <c r="I129" i="3"/>
  <c r="AA128" i="3"/>
  <c r="T128" i="3"/>
  <c r="I128" i="3"/>
  <c r="AA127" i="3"/>
  <c r="T127" i="3"/>
  <c r="I127" i="3"/>
  <c r="AA126" i="3"/>
  <c r="T126" i="3"/>
  <c r="I126" i="3"/>
  <c r="AA125" i="3"/>
  <c r="T125" i="3"/>
  <c r="I125" i="3"/>
  <c r="AA124" i="3"/>
  <c r="T124" i="3"/>
  <c r="I124" i="3"/>
  <c r="AA123" i="3"/>
  <c r="T123" i="3"/>
  <c r="I123" i="3"/>
  <c r="AA122" i="3"/>
  <c r="T122" i="3"/>
  <c r="I122" i="3"/>
  <c r="AA121" i="3"/>
  <c r="T121" i="3"/>
  <c r="I121" i="3"/>
  <c r="AA120" i="3"/>
  <c r="T120" i="3"/>
  <c r="I120" i="3"/>
  <c r="AA119" i="3"/>
  <c r="T119" i="3"/>
  <c r="I119" i="3"/>
  <c r="AA118" i="3"/>
  <c r="T118" i="3"/>
  <c r="I118" i="3"/>
  <c r="AA117" i="3"/>
  <c r="T117" i="3"/>
  <c r="I117" i="3"/>
  <c r="AA116" i="3"/>
  <c r="T116" i="3"/>
  <c r="I116" i="3"/>
  <c r="AA115" i="3"/>
  <c r="T115" i="3"/>
  <c r="I115" i="3"/>
  <c r="AA114" i="3"/>
  <c r="T114" i="3"/>
  <c r="I114" i="3"/>
  <c r="AA113" i="3"/>
  <c r="T113" i="3"/>
  <c r="I113" i="3"/>
  <c r="AA112" i="3"/>
  <c r="T112" i="3"/>
  <c r="I112" i="3"/>
  <c r="AA111" i="3"/>
  <c r="T111" i="3"/>
  <c r="I111" i="3"/>
  <c r="AA110" i="3"/>
  <c r="T110" i="3"/>
  <c r="I110" i="3"/>
  <c r="AA109" i="3"/>
  <c r="T109" i="3"/>
  <c r="I109" i="3"/>
  <c r="AA108" i="3"/>
  <c r="T108" i="3"/>
  <c r="I108" i="3"/>
  <c r="AA107" i="3"/>
  <c r="T107" i="3"/>
  <c r="I107" i="3"/>
  <c r="AA106" i="3"/>
  <c r="T106" i="3"/>
  <c r="I106" i="3"/>
  <c r="AA105" i="3"/>
  <c r="T105" i="3"/>
  <c r="I105" i="3"/>
  <c r="AA104" i="3"/>
  <c r="T104" i="3"/>
  <c r="I104" i="3"/>
  <c r="AA103" i="3"/>
  <c r="T103" i="3"/>
  <c r="I103" i="3"/>
  <c r="AA102" i="3"/>
  <c r="T102" i="3"/>
  <c r="I102" i="3"/>
  <c r="AA101" i="3"/>
  <c r="T101" i="3"/>
  <c r="I101" i="3"/>
  <c r="AA100" i="3"/>
  <c r="T100" i="3"/>
  <c r="I100" i="3"/>
  <c r="AA99" i="3"/>
  <c r="T99" i="3"/>
  <c r="I99" i="3"/>
  <c r="AA98" i="3"/>
  <c r="T98" i="3"/>
  <c r="I98" i="3"/>
  <c r="AA97" i="3"/>
  <c r="T97" i="3"/>
  <c r="I97" i="3"/>
  <c r="AA96" i="3"/>
  <c r="T96" i="3"/>
  <c r="I96" i="3"/>
  <c r="AA95" i="3"/>
  <c r="T95" i="3"/>
  <c r="I95" i="3"/>
  <c r="AA94" i="3"/>
  <c r="T94" i="3"/>
  <c r="I94" i="3"/>
  <c r="AA93" i="3"/>
  <c r="T93" i="3"/>
  <c r="I93" i="3"/>
  <c r="AA92" i="3"/>
  <c r="T92" i="3"/>
  <c r="I92" i="3"/>
  <c r="AA91" i="3"/>
  <c r="T91" i="3"/>
  <c r="I91" i="3"/>
  <c r="AA90" i="3"/>
  <c r="T90" i="3"/>
  <c r="I90" i="3"/>
  <c r="AA89" i="3"/>
  <c r="T89" i="3"/>
  <c r="I89" i="3"/>
  <c r="AA88" i="3"/>
  <c r="T88" i="3"/>
  <c r="I88" i="3"/>
  <c r="AA87" i="3"/>
  <c r="T87" i="3"/>
  <c r="I87" i="3"/>
  <c r="AA86" i="3"/>
  <c r="T86" i="3"/>
  <c r="I86" i="3"/>
  <c r="AA85" i="3"/>
  <c r="T85" i="3"/>
  <c r="I85" i="3"/>
  <c r="AA84" i="3"/>
  <c r="T84" i="3"/>
  <c r="I84" i="3"/>
  <c r="AA83" i="3"/>
  <c r="T83" i="3"/>
  <c r="I83" i="3"/>
  <c r="AA82" i="3"/>
  <c r="T82" i="3"/>
  <c r="I82" i="3"/>
  <c r="AA81" i="3"/>
  <c r="T81" i="3"/>
  <c r="I81" i="3"/>
  <c r="AA80" i="3"/>
  <c r="T80" i="3"/>
  <c r="I80" i="3"/>
  <c r="AA79" i="3"/>
  <c r="T79" i="3"/>
  <c r="I79" i="3"/>
  <c r="AA78" i="3"/>
  <c r="T78" i="3"/>
  <c r="I78" i="3"/>
  <c r="AA77" i="3"/>
  <c r="T77" i="3"/>
  <c r="I77" i="3"/>
  <c r="AA76" i="3"/>
  <c r="T76" i="3"/>
  <c r="I76" i="3"/>
  <c r="AA75" i="3"/>
  <c r="T75" i="3"/>
  <c r="I75" i="3"/>
  <c r="AA74" i="3"/>
  <c r="T74" i="3"/>
  <c r="I74" i="3"/>
  <c r="AA73" i="3"/>
  <c r="T73" i="3"/>
  <c r="I73" i="3"/>
  <c r="AA72" i="3"/>
  <c r="T72" i="3"/>
  <c r="I72" i="3"/>
  <c r="AA71" i="3"/>
  <c r="T71" i="3"/>
  <c r="I71" i="3"/>
  <c r="AA70" i="3"/>
  <c r="T70" i="3"/>
  <c r="I70" i="3"/>
  <c r="AA69" i="3"/>
  <c r="T69" i="3"/>
  <c r="I69" i="3"/>
  <c r="AA68" i="3"/>
  <c r="T68" i="3"/>
  <c r="I68" i="3"/>
  <c r="AA67" i="3"/>
  <c r="T67" i="3"/>
  <c r="I67" i="3"/>
  <c r="AA66" i="3"/>
  <c r="T66" i="3"/>
  <c r="I66" i="3"/>
  <c r="AA65" i="3"/>
  <c r="T65" i="3"/>
  <c r="I65" i="3"/>
  <c r="AA64" i="3"/>
  <c r="T64" i="3"/>
  <c r="I64" i="3"/>
  <c r="AA63" i="3"/>
  <c r="T63" i="3"/>
  <c r="I63" i="3"/>
  <c r="AA62" i="3"/>
  <c r="T62" i="3"/>
  <c r="I62" i="3"/>
  <c r="AA61" i="3"/>
  <c r="T61" i="3"/>
  <c r="I61" i="3"/>
  <c r="AA60" i="3"/>
  <c r="T60" i="3"/>
  <c r="I60" i="3"/>
  <c r="AA59" i="3"/>
  <c r="T59" i="3"/>
  <c r="I59" i="3"/>
  <c r="AA58" i="3"/>
  <c r="T58" i="3"/>
  <c r="I58" i="3"/>
  <c r="AA57" i="3"/>
  <c r="T57" i="3"/>
  <c r="I57" i="3"/>
  <c r="AA56" i="3"/>
  <c r="T56" i="3"/>
  <c r="I56" i="3"/>
  <c r="AA55" i="3"/>
  <c r="T55" i="3"/>
  <c r="I55" i="3"/>
  <c r="AA54" i="3"/>
  <c r="T54" i="3"/>
  <c r="I54" i="3"/>
  <c r="AA53" i="3"/>
  <c r="T53" i="3"/>
  <c r="I53" i="3"/>
  <c r="AA52" i="3"/>
  <c r="T52" i="3"/>
  <c r="I52" i="3"/>
  <c r="AA51" i="3"/>
  <c r="T51" i="3"/>
  <c r="I51" i="3"/>
  <c r="AA50" i="3"/>
  <c r="T50" i="3"/>
  <c r="I50" i="3"/>
  <c r="AA49" i="3"/>
  <c r="T49" i="3"/>
  <c r="I49" i="3"/>
  <c r="AA48" i="3"/>
  <c r="T48" i="3"/>
  <c r="I48" i="3"/>
  <c r="AA47" i="3"/>
  <c r="T47" i="3"/>
  <c r="I47" i="3"/>
  <c r="AA46" i="3"/>
  <c r="T46" i="3"/>
  <c r="I46" i="3"/>
  <c r="AA45" i="3"/>
  <c r="T45" i="3"/>
  <c r="I45" i="3"/>
  <c r="AA44" i="3"/>
  <c r="T44" i="3"/>
  <c r="I44" i="3"/>
  <c r="AA43" i="3"/>
  <c r="T43" i="3"/>
  <c r="I43" i="3"/>
  <c r="AA42" i="3"/>
  <c r="T42" i="3"/>
  <c r="I42" i="3"/>
  <c r="AA41" i="3"/>
  <c r="T41" i="3"/>
  <c r="I41" i="3"/>
  <c r="AA40" i="3"/>
  <c r="T40" i="3"/>
  <c r="I40" i="3"/>
  <c r="AA39" i="3"/>
  <c r="T39" i="3"/>
  <c r="I39" i="3"/>
  <c r="AA38" i="3"/>
  <c r="T38" i="3"/>
  <c r="I38" i="3"/>
  <c r="AA37" i="3"/>
  <c r="T37" i="3"/>
  <c r="I37" i="3"/>
  <c r="AA36" i="3"/>
  <c r="T36" i="3"/>
  <c r="I36" i="3"/>
  <c r="AA35" i="3"/>
  <c r="T35" i="3"/>
  <c r="I35" i="3"/>
  <c r="AA34" i="3"/>
  <c r="T34" i="3"/>
  <c r="I34" i="3"/>
  <c r="AA33" i="3"/>
  <c r="T33" i="3"/>
  <c r="I33" i="3"/>
  <c r="AA32" i="3"/>
  <c r="T32" i="3"/>
  <c r="I32" i="3"/>
  <c r="AA31" i="3"/>
  <c r="T31" i="3"/>
  <c r="I31" i="3"/>
  <c r="AA30" i="3"/>
  <c r="T30" i="3"/>
  <c r="I30" i="3"/>
  <c r="AA29" i="3"/>
  <c r="T29" i="3"/>
  <c r="I29" i="3"/>
  <c r="AA28" i="3"/>
  <c r="T28" i="3"/>
  <c r="I28" i="3"/>
  <c r="AA27" i="3"/>
  <c r="T27" i="3"/>
  <c r="I27" i="3"/>
  <c r="AA26" i="3"/>
  <c r="T26" i="3"/>
  <c r="I26" i="3"/>
  <c r="AA25" i="3"/>
  <c r="T25" i="3"/>
  <c r="I25" i="3"/>
  <c r="AA24" i="3"/>
  <c r="T24" i="3"/>
  <c r="I24" i="3"/>
  <c r="AA23" i="3"/>
  <c r="T23" i="3"/>
  <c r="I23" i="3"/>
  <c r="AA22" i="3"/>
  <c r="T22" i="3"/>
  <c r="I22" i="3"/>
  <c r="AA21" i="3"/>
  <c r="T21" i="3"/>
  <c r="I21" i="3"/>
  <c r="AA20" i="3"/>
  <c r="T20" i="3"/>
  <c r="I20" i="3"/>
  <c r="AA19" i="3"/>
  <c r="T19" i="3"/>
  <c r="I19" i="3"/>
  <c r="AA18" i="3"/>
  <c r="T18" i="3"/>
  <c r="I18" i="3"/>
  <c r="AA17" i="3"/>
  <c r="T17" i="3"/>
  <c r="I17" i="3"/>
  <c r="AA16" i="3"/>
  <c r="T16" i="3"/>
  <c r="I16" i="3"/>
  <c r="AA15" i="3"/>
  <c r="T15" i="3"/>
  <c r="I15" i="3"/>
  <c r="AA14" i="3"/>
  <c r="T14" i="3"/>
  <c r="I14" i="3"/>
  <c r="AA13" i="3"/>
  <c r="T13" i="3"/>
  <c r="I13" i="3"/>
  <c r="AA12" i="3"/>
  <c r="T12" i="3"/>
  <c r="I12" i="3"/>
  <c r="AA11" i="3"/>
  <c r="T11" i="3"/>
  <c r="I11" i="3"/>
  <c r="AA10" i="3"/>
  <c r="T10" i="3"/>
  <c r="I10" i="3"/>
  <c r="AA9" i="3"/>
  <c r="T9" i="3"/>
  <c r="I9" i="3"/>
  <c r="AA8" i="3"/>
  <c r="T8" i="3"/>
  <c r="I8" i="3"/>
  <c r="AA7" i="3"/>
  <c r="T7" i="3"/>
  <c r="I7" i="3"/>
  <c r="AA6" i="3"/>
  <c r="T6" i="3"/>
  <c r="I6" i="3"/>
  <c r="AA5" i="3"/>
  <c r="T5" i="3"/>
  <c r="I5" i="3"/>
  <c r="AA4" i="3"/>
  <c r="T4" i="3"/>
  <c r="I4" i="3"/>
  <c r="AA3" i="3"/>
  <c r="T3" i="3"/>
  <c r="I3" i="3"/>
  <c r="AA2" i="3"/>
  <c r="T2" i="3"/>
  <c r="I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47F84D-9B49-4FB5-8525-2890569BCC27}" name="Connection" type="104" refreshedVersion="0" background="1">
    <extLst>
      <ext xmlns:x15="http://schemas.microsoft.com/office/spreadsheetml/2010/11/main" uri="{DE250136-89BD-433C-8126-D09CA5730AF9}">
        <x15:connection id="Calendar"/>
      </ext>
    </extLst>
  </connection>
  <connection id="2" xr16:uid="{576177C2-1DBB-4006-B882-59F48019C7A3}" name="Excel Year 2026 Master" type="100" refreshedVersion="8">
    <extLst>
      <ext xmlns:x15="http://schemas.microsoft.com/office/spreadsheetml/2010/11/main" uri="{DE250136-89BD-433C-8126-D09CA5730AF9}">
        <x15:connection id="a5dd69fa-08b2-4e38-912b-bc5bbfbc14f2"/>
      </ext>
    </extLst>
  </connection>
  <connection id="3" xr16:uid="{B6EB26C1-1FC8-4603-B2EF-8074AE39B664}" name="Query - FltLoadJanuary2026" description="Connection to the 'FltLoadJanuary2026' query in the workbook." type="100" refreshedVersion="8" minRefreshableVersion="5">
    <extLst>
      <ext xmlns:x15="http://schemas.microsoft.com/office/spreadsheetml/2010/11/main" uri="{DE250136-89BD-433C-8126-D09CA5730AF9}">
        <x15:connection id="3c3ac628-78b1-4625-a67f-845e15947163"/>
      </ext>
    </extLst>
  </connection>
  <connection id="4" xr16:uid="{E3EAEAE6-789C-4904-882E-51FAD85E4C2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2">
    <s v="ThisWorkbookDataModel"/>
    <s v="{[FltLoadJanuary2026].[A Date].[All]}"/>
  </metadataStrings>
  <mdxMetadata count="1">
    <mdx n="0" f="s">
      <ms ns="1" c="0"/>
    </mdx>
  </mdxMetadata>
  <valueMetadata count="1">
    <bk>
      <rc t="1" v="0"/>
    </bk>
  </valueMetadata>
</metadata>
</file>

<file path=xl/sharedStrings.xml><?xml version="1.0" encoding="utf-8"?>
<sst xmlns="http://schemas.openxmlformats.org/spreadsheetml/2006/main" count="5709" uniqueCount="876">
  <si>
    <t>A FLT No.</t>
  </si>
  <si>
    <t>Operator</t>
  </si>
  <si>
    <t>Aflt Type</t>
  </si>
  <si>
    <t>Dflt type</t>
  </si>
  <si>
    <t>A/C Reg</t>
  </si>
  <si>
    <t>SEAT</t>
  </si>
  <si>
    <t>A/C Type</t>
  </si>
  <si>
    <t>Route</t>
  </si>
  <si>
    <t>A Date</t>
  </si>
  <si>
    <t>STA</t>
  </si>
  <si>
    <t>ETA</t>
  </si>
  <si>
    <t>AL</t>
  </si>
  <si>
    <t>ATA</t>
  </si>
  <si>
    <t>DL time</t>
  </si>
  <si>
    <t>Remark</t>
  </si>
  <si>
    <t>Dep FLT No.</t>
  </si>
  <si>
    <t>D Date</t>
  </si>
  <si>
    <t>STD</t>
  </si>
  <si>
    <t>ATD</t>
  </si>
  <si>
    <t>TO</t>
  </si>
  <si>
    <t>B- Pax</t>
  </si>
  <si>
    <t>POB</t>
  </si>
  <si>
    <t>PSC+</t>
  </si>
  <si>
    <t>PSC Inc</t>
  </si>
  <si>
    <t>D. Stand</t>
  </si>
  <si>
    <t>Desk</t>
  </si>
  <si>
    <t>BDG</t>
  </si>
  <si>
    <t>DL Time</t>
  </si>
  <si>
    <t>Dep Remarks</t>
  </si>
  <si>
    <t/>
  </si>
  <si>
    <t>J</t>
  </si>
  <si>
    <t>AT7</t>
  </si>
  <si>
    <t>K6930</t>
  </si>
  <si>
    <t>SZX</t>
  </si>
  <si>
    <t>0</t>
  </si>
  <si>
    <t>CNL W/ NOTICE</t>
  </si>
  <si>
    <t>ZA/SWM SKY ANGKOR AIRLINES</t>
  </si>
  <si>
    <t>P</t>
  </si>
  <si>
    <t>320</t>
  </si>
  <si>
    <t>KTI</t>
  </si>
  <si>
    <t>16:35</t>
  </si>
  <si>
    <t>CGK</t>
  </si>
  <si>
    <t>D</t>
  </si>
  <si>
    <t>CCX</t>
  </si>
  <si>
    <t>SZB</t>
  </si>
  <si>
    <t>13:00</t>
  </si>
  <si>
    <t>C</t>
  </si>
  <si>
    <t>KUL</t>
  </si>
  <si>
    <t>19:35</t>
  </si>
  <si>
    <t>15:30</t>
  </si>
  <si>
    <t>20:15</t>
  </si>
  <si>
    <t>GN/AGN CHARTER</t>
  </si>
  <si>
    <t>15:00</t>
  </si>
  <si>
    <t>CANCEL W/O NOTICE</t>
  </si>
  <si>
    <t>KR962</t>
  </si>
  <si>
    <t>KR/KME CAMBODIA AIRWAYS</t>
  </si>
  <si>
    <t>319</t>
  </si>
  <si>
    <t>TFU</t>
  </si>
  <si>
    <t>17:20</t>
  </si>
  <si>
    <t>10:20</t>
  </si>
  <si>
    <t>XSP</t>
  </si>
  <si>
    <t>13:25</t>
  </si>
  <si>
    <t>K6931</t>
  </si>
  <si>
    <t>K6/KHV AIR CAMBODIA</t>
  </si>
  <si>
    <t>321</t>
  </si>
  <si>
    <t>06:15</t>
  </si>
  <si>
    <t>CL5</t>
  </si>
  <si>
    <t>VTE</t>
  </si>
  <si>
    <t>GN058</t>
  </si>
  <si>
    <t>13:10</t>
  </si>
  <si>
    <t>K6838</t>
  </si>
  <si>
    <t>SGN</t>
  </si>
  <si>
    <t>K6839</t>
  </si>
  <si>
    <t>GN084</t>
  </si>
  <si>
    <t>10:00</t>
  </si>
  <si>
    <t>16:15</t>
  </si>
  <si>
    <t>14:00</t>
  </si>
  <si>
    <t>09:00</t>
  </si>
  <si>
    <t>21:15</t>
  </si>
  <si>
    <t>12</t>
  </si>
  <si>
    <t>CCJ</t>
  </si>
  <si>
    <t>16:05</t>
  </si>
  <si>
    <t>XU763</t>
  </si>
  <si>
    <t>07</t>
  </si>
  <si>
    <t>31</t>
  </si>
  <si>
    <t>ARRIVED</t>
  </si>
  <si>
    <t>KR832</t>
  </si>
  <si>
    <t>18:00</t>
  </si>
  <si>
    <t>17:39</t>
  </si>
  <si>
    <t>DEPARTED</t>
  </si>
  <si>
    <t>04</t>
  </si>
  <si>
    <t>13:30</t>
  </si>
  <si>
    <t>7</t>
  </si>
  <si>
    <t>KR831</t>
  </si>
  <si>
    <t>XU762</t>
  </si>
  <si>
    <t>08:20</t>
  </si>
  <si>
    <t>08:05</t>
  </si>
  <si>
    <t>KR961</t>
  </si>
  <si>
    <t>156</t>
  </si>
  <si>
    <t>158</t>
  </si>
  <si>
    <t>02</t>
  </si>
  <si>
    <t>DR5031</t>
  </si>
  <si>
    <t>DR/RLH RUILI AIRLINES</t>
  </si>
  <si>
    <t>B1598</t>
  </si>
  <si>
    <t>738</t>
  </si>
  <si>
    <t>WUX</t>
  </si>
  <si>
    <t>10:35</t>
  </si>
  <si>
    <t>10:58</t>
  </si>
  <si>
    <t>11:00</t>
  </si>
  <si>
    <t>54</t>
  </si>
  <si>
    <t>DR5032</t>
  </si>
  <si>
    <t>11:25</t>
  </si>
  <si>
    <t>11:51</t>
  </si>
  <si>
    <t>11:59</t>
  </si>
  <si>
    <t>03</t>
  </si>
  <si>
    <t>GN088</t>
  </si>
  <si>
    <t>9HVFM</t>
  </si>
  <si>
    <t>12:30</t>
  </si>
  <si>
    <t>12:33</t>
  </si>
  <si>
    <t>12:32</t>
  </si>
  <si>
    <t>12:35</t>
  </si>
  <si>
    <t>GN089</t>
  </si>
  <si>
    <t>13:11</t>
  </si>
  <si>
    <t>13:18</t>
  </si>
  <si>
    <t>11</t>
  </si>
  <si>
    <t>K6131</t>
  </si>
  <si>
    <t>XU611</t>
  </si>
  <si>
    <t>SAI</t>
  </si>
  <si>
    <t>12:40</t>
  </si>
  <si>
    <t>13:16</t>
  </si>
  <si>
    <t>71</t>
  </si>
  <si>
    <t>K6130</t>
  </si>
  <si>
    <t>13:46</t>
  </si>
  <si>
    <t>13:55</t>
  </si>
  <si>
    <t>58</t>
  </si>
  <si>
    <t>59</t>
  </si>
  <si>
    <t>01</t>
  </si>
  <si>
    <t>ZA1219</t>
  </si>
  <si>
    <t>K</t>
  </si>
  <si>
    <t>XU727</t>
  </si>
  <si>
    <t>07:30</t>
  </si>
  <si>
    <t>07:48</t>
  </si>
  <si>
    <t>09:45</t>
  </si>
  <si>
    <t>K6133</t>
  </si>
  <si>
    <t>XU610</t>
  </si>
  <si>
    <t>21:05</t>
  </si>
  <si>
    <t>21:19</t>
  </si>
  <si>
    <t>21:25</t>
  </si>
  <si>
    <t>46</t>
  </si>
  <si>
    <t>K6132</t>
  </si>
  <si>
    <t>21:40</t>
  </si>
  <si>
    <t>21:45</t>
  </si>
  <si>
    <t>21:50</t>
  </si>
  <si>
    <t>32</t>
  </si>
  <si>
    <t>XU350</t>
  </si>
  <si>
    <t>20:05</t>
  </si>
  <si>
    <t>20:11</t>
  </si>
  <si>
    <t>64</t>
  </si>
  <si>
    <t>21:30</t>
  </si>
  <si>
    <t>164</t>
  </si>
  <si>
    <t>154</t>
  </si>
  <si>
    <t>152</t>
  </si>
  <si>
    <t>07:23</t>
  </si>
  <si>
    <t>XU612</t>
  </si>
  <si>
    <t>17:10</t>
  </si>
  <si>
    <t>16:46</t>
  </si>
  <si>
    <t>16:53</t>
  </si>
  <si>
    <t>17:40</t>
  </si>
  <si>
    <t>17:26</t>
  </si>
  <si>
    <t>17:33</t>
  </si>
  <si>
    <t>DR5029</t>
  </si>
  <si>
    <t>B1595</t>
  </si>
  <si>
    <t>KMG</t>
  </si>
  <si>
    <t>05</t>
  </si>
  <si>
    <t>19:45</t>
  </si>
  <si>
    <t>19:43</t>
  </si>
  <si>
    <t>19:54</t>
  </si>
  <si>
    <t>60</t>
  </si>
  <si>
    <t>DR5030</t>
  </si>
  <si>
    <t>20:35</t>
  </si>
  <si>
    <t>20:48</t>
  </si>
  <si>
    <t>20:55</t>
  </si>
  <si>
    <t>179</t>
  </si>
  <si>
    <t>173</t>
  </si>
  <si>
    <t>72</t>
  </si>
  <si>
    <t>B1596</t>
  </si>
  <si>
    <t>21:16</t>
  </si>
  <si>
    <t>62</t>
  </si>
  <si>
    <t>AK264</t>
  </si>
  <si>
    <t>AK/AXM AIRASIA</t>
  </si>
  <si>
    <t>180</t>
  </si>
  <si>
    <t>12:54</t>
  </si>
  <si>
    <t>12:51</t>
  </si>
  <si>
    <t>12:56</t>
  </si>
  <si>
    <t>141</t>
  </si>
  <si>
    <t>AK265</t>
  </si>
  <si>
    <t>13:41</t>
  </si>
  <si>
    <t>9MAJT</t>
  </si>
  <si>
    <t>13:15</t>
  </si>
  <si>
    <t>13:06</t>
  </si>
  <si>
    <t>13:07</t>
  </si>
  <si>
    <t>13:13</t>
  </si>
  <si>
    <t>131</t>
  </si>
  <si>
    <t>13:45</t>
  </si>
  <si>
    <t>13:36</t>
  </si>
  <si>
    <t>13:05</t>
  </si>
  <si>
    <t>13:12</t>
  </si>
  <si>
    <t>13:52</t>
  </si>
  <si>
    <t>10:24</t>
  </si>
  <si>
    <t>10:31</t>
  </si>
  <si>
    <t>11:04</t>
  </si>
  <si>
    <t>37</t>
  </si>
  <si>
    <t>06</t>
  </si>
  <si>
    <t>12:37</t>
  </si>
  <si>
    <t>12:43</t>
  </si>
  <si>
    <t>13:35</t>
  </si>
  <si>
    <t>13:14</t>
  </si>
  <si>
    <t>15</t>
  </si>
  <si>
    <t>10:30</t>
  </si>
  <si>
    <t>10:51</t>
  </si>
  <si>
    <t>35</t>
  </si>
  <si>
    <t>34</t>
  </si>
  <si>
    <t>KT174</t>
  </si>
  <si>
    <t>KT/KTC AIRASIA CAMBODIA</t>
  </si>
  <si>
    <t>XU818</t>
  </si>
  <si>
    <t>137</t>
  </si>
  <si>
    <t>KT175</t>
  </si>
  <si>
    <t>12:15</t>
  </si>
  <si>
    <t>12:00</t>
  </si>
  <si>
    <t>126</t>
  </si>
  <si>
    <t>110</t>
  </si>
  <si>
    <t>108</t>
  </si>
  <si>
    <t>15:40</t>
  </si>
  <si>
    <t>15:50</t>
  </si>
  <si>
    <t>16:30</t>
  </si>
  <si>
    <t>91</t>
  </si>
  <si>
    <t>82</t>
  </si>
  <si>
    <t>15:10</t>
  </si>
  <si>
    <t>16:11</t>
  </si>
  <si>
    <t>16:18</t>
  </si>
  <si>
    <t>106</t>
  </si>
  <si>
    <t>T7727</t>
  </si>
  <si>
    <t>8</t>
  </si>
  <si>
    <t>H25</t>
  </si>
  <si>
    <t>15:03</t>
  </si>
  <si>
    <t>3</t>
  </si>
  <si>
    <t>130</t>
  </si>
  <si>
    <t>18:53</t>
  </si>
  <si>
    <t>15:27</t>
  </si>
  <si>
    <t>16:10</t>
  </si>
  <si>
    <t>16:00</t>
  </si>
  <si>
    <t>41</t>
  </si>
  <si>
    <t>16:26</t>
  </si>
  <si>
    <t>16:32</t>
  </si>
  <si>
    <t>XU356</t>
  </si>
  <si>
    <t>07:00</t>
  </si>
  <si>
    <t>63</t>
  </si>
  <si>
    <t>14:30</t>
  </si>
  <si>
    <t>14:47</t>
  </si>
  <si>
    <t>15:31</t>
  </si>
  <si>
    <t>07:20</t>
  </si>
  <si>
    <t>07:05</t>
  </si>
  <si>
    <t>09:52</t>
  </si>
  <si>
    <t>09:58</t>
  </si>
  <si>
    <t>11:45</t>
  </si>
  <si>
    <t>11:39</t>
  </si>
  <si>
    <t>138</t>
  </si>
  <si>
    <t>12:18</t>
  </si>
  <si>
    <t>11:33</t>
  </si>
  <si>
    <t>12:01</t>
  </si>
  <si>
    <t>12:09</t>
  </si>
  <si>
    <t>B1960</t>
  </si>
  <si>
    <t>176</t>
  </si>
  <si>
    <t>19:50</t>
  </si>
  <si>
    <t>21:02</t>
  </si>
  <si>
    <t>66</t>
  </si>
  <si>
    <t>65</t>
  </si>
  <si>
    <t>15:25</t>
  </si>
  <si>
    <t>21</t>
  </si>
  <si>
    <t>15:58</t>
  </si>
  <si>
    <t>B1186</t>
  </si>
  <si>
    <t>21:12</t>
  </si>
  <si>
    <t>21:52</t>
  </si>
  <si>
    <t>21:59</t>
  </si>
  <si>
    <t>159</t>
  </si>
  <si>
    <t>9MAGJ</t>
  </si>
  <si>
    <t>32N</t>
  </si>
  <si>
    <t>12:47</t>
  </si>
  <si>
    <t>12:48</t>
  </si>
  <si>
    <t>12:55</t>
  </si>
  <si>
    <t>13:22</t>
  </si>
  <si>
    <t>13:31</t>
  </si>
  <si>
    <t>150</t>
  </si>
  <si>
    <t>149</t>
  </si>
  <si>
    <t>XU819</t>
  </si>
  <si>
    <t>11:54</t>
  </si>
  <si>
    <t>12:38</t>
  </si>
  <si>
    <t>192</t>
  </si>
  <si>
    <t>168</t>
  </si>
  <si>
    <t>11:58</t>
  </si>
  <si>
    <t>11:50</t>
  </si>
  <si>
    <t>11:57</t>
  </si>
  <si>
    <t>104</t>
  </si>
  <si>
    <t>12:23</t>
  </si>
  <si>
    <t>11:41</t>
  </si>
  <si>
    <t>11:49</t>
  </si>
  <si>
    <t>12:28</t>
  </si>
  <si>
    <t>178</t>
  </si>
  <si>
    <t>GA8491</t>
  </si>
  <si>
    <t>GA/GIA GARUDA INDONESIA</t>
  </si>
  <si>
    <t>14:35</t>
  </si>
  <si>
    <t>GA8490</t>
  </si>
  <si>
    <t>09:35</t>
  </si>
  <si>
    <t>10:19</t>
  </si>
  <si>
    <t>10:25</t>
  </si>
  <si>
    <t>48</t>
  </si>
  <si>
    <t>10:45</t>
  </si>
  <si>
    <t>10:55</t>
  </si>
  <si>
    <t>11:01</t>
  </si>
  <si>
    <t>70</t>
  </si>
  <si>
    <t>68</t>
  </si>
  <si>
    <t>20:40</t>
  </si>
  <si>
    <t>20:43</t>
  </si>
  <si>
    <t>21:31</t>
  </si>
  <si>
    <t>18</t>
  </si>
  <si>
    <t>19:39</t>
  </si>
  <si>
    <t>19:47</t>
  </si>
  <si>
    <t>21:24</t>
  </si>
  <si>
    <t>171</t>
  </si>
  <si>
    <t>12:17</t>
  </si>
  <si>
    <t>47</t>
  </si>
  <si>
    <t>12:59</t>
  </si>
  <si>
    <t>56</t>
  </si>
  <si>
    <t>50</t>
  </si>
  <si>
    <t>49</t>
  </si>
  <si>
    <t>12:34</t>
  </si>
  <si>
    <t>12:42</t>
  </si>
  <si>
    <t>13:19</t>
  </si>
  <si>
    <t>9MAJK</t>
  </si>
  <si>
    <t>12:57</t>
  </si>
  <si>
    <t>134</t>
  </si>
  <si>
    <t>13:38</t>
  </si>
  <si>
    <t>135</t>
  </si>
  <si>
    <t>9MAQA</t>
  </si>
  <si>
    <t>101</t>
  </si>
  <si>
    <t>13:32</t>
  </si>
  <si>
    <t>148</t>
  </si>
  <si>
    <t>13:02</t>
  </si>
  <si>
    <t>13:44</t>
  </si>
  <si>
    <t>13:09</t>
  </si>
  <si>
    <t>69</t>
  </si>
  <si>
    <t>13:59</t>
  </si>
  <si>
    <t>53</t>
  </si>
  <si>
    <t>51</t>
  </si>
  <si>
    <t>15:21</t>
  </si>
  <si>
    <t>15:24</t>
  </si>
  <si>
    <t>K6135</t>
  </si>
  <si>
    <t>17:00</t>
  </si>
  <si>
    <t>15:36</t>
  </si>
  <si>
    <t>09:31</t>
  </si>
  <si>
    <t>19:40</t>
  </si>
  <si>
    <t>20:00</t>
  </si>
  <si>
    <t>20:08</t>
  </si>
  <si>
    <t>22:28</t>
  </si>
  <si>
    <t>15:47</t>
  </si>
  <si>
    <t>57</t>
  </si>
  <si>
    <t>16:27</t>
  </si>
  <si>
    <t>67</t>
  </si>
  <si>
    <t>B1188</t>
  </si>
  <si>
    <t>19:52</t>
  </si>
  <si>
    <t>185</t>
  </si>
  <si>
    <t>20:07</t>
  </si>
  <si>
    <t>61</t>
  </si>
  <si>
    <t>174</t>
  </si>
  <si>
    <t>10:37</t>
  </si>
  <si>
    <t>10:38</t>
  </si>
  <si>
    <t>39</t>
  </si>
  <si>
    <t>11:13</t>
  </si>
  <si>
    <t>19:56</t>
  </si>
  <si>
    <t>20:58</t>
  </si>
  <si>
    <t>09:40</t>
  </si>
  <si>
    <t>10:15</t>
  </si>
  <si>
    <t>12:20</t>
  </si>
  <si>
    <t>12:21</t>
  </si>
  <si>
    <t>12:29</t>
  </si>
  <si>
    <t>15:46</t>
  </si>
  <si>
    <t>15:42</t>
  </si>
  <si>
    <t>15:37</t>
  </si>
  <si>
    <t>15:44</t>
  </si>
  <si>
    <t>16:17</t>
  </si>
  <si>
    <t>16:24</t>
  </si>
  <si>
    <t>09:03</t>
  </si>
  <si>
    <t>B7867</t>
  </si>
  <si>
    <t>11:42</t>
  </si>
  <si>
    <t>146</t>
  </si>
  <si>
    <t>144</t>
  </si>
  <si>
    <t>07:44</t>
  </si>
  <si>
    <t>07:55</t>
  </si>
  <si>
    <t>09:10</t>
  </si>
  <si>
    <t>145</t>
  </si>
  <si>
    <t>09:49</t>
  </si>
  <si>
    <t>09:55</t>
  </si>
  <si>
    <t>10:29</t>
  </si>
  <si>
    <t>10:34</t>
  </si>
  <si>
    <t>167</t>
  </si>
  <si>
    <t>21:22</t>
  </si>
  <si>
    <t>08:01</t>
  </si>
  <si>
    <t>08:09</t>
  </si>
  <si>
    <t>08:55</t>
  </si>
  <si>
    <t>09:41</t>
  </si>
  <si>
    <t>W</t>
  </si>
  <si>
    <t>06:25</t>
  </si>
  <si>
    <t>06:21</t>
  </si>
  <si>
    <t>06:28</t>
  </si>
  <si>
    <t>07:40</t>
  </si>
  <si>
    <t>07:47</t>
  </si>
  <si>
    <t>XU353</t>
  </si>
  <si>
    <t>06:35</t>
  </si>
  <si>
    <t>06:44</t>
  </si>
  <si>
    <t>07:36</t>
  </si>
  <si>
    <t>07:45</t>
  </si>
  <si>
    <t>157</t>
  </si>
  <si>
    <t>13:03</t>
  </si>
  <si>
    <t>16:55</t>
  </si>
  <si>
    <t>17:04</t>
  </si>
  <si>
    <t>17:41</t>
  </si>
  <si>
    <t>17:47</t>
  </si>
  <si>
    <t>12:36</t>
  </si>
  <si>
    <t>12:45</t>
  </si>
  <si>
    <t>13:21</t>
  </si>
  <si>
    <t>13:04</t>
  </si>
  <si>
    <t>GN086</t>
  </si>
  <si>
    <t>14:57</t>
  </si>
  <si>
    <t>5</t>
  </si>
  <si>
    <t>GN087</t>
  </si>
  <si>
    <t>11:35</t>
  </si>
  <si>
    <t>12:16</t>
  </si>
  <si>
    <t>GN076</t>
  </si>
  <si>
    <t>10028</t>
  </si>
  <si>
    <t>GJ5</t>
  </si>
  <si>
    <t>15:52</t>
  </si>
  <si>
    <t>GN077</t>
  </si>
  <si>
    <t>17:45</t>
  </si>
  <si>
    <t>17:56</t>
  </si>
  <si>
    <t>9</t>
  </si>
  <si>
    <t>12:41</t>
  </si>
  <si>
    <t>17:18</t>
  </si>
  <si>
    <t>17:17</t>
  </si>
  <si>
    <t>17:25</t>
  </si>
  <si>
    <t>17:51</t>
  </si>
  <si>
    <t>ID8882</t>
  </si>
  <si>
    <t>ID/BTK BATIK AIR</t>
  </si>
  <si>
    <t>PKLZH</t>
  </si>
  <si>
    <t>16:56</t>
  </si>
  <si>
    <t>17:01</t>
  </si>
  <si>
    <t>ID5010</t>
  </si>
  <si>
    <t>KNO</t>
  </si>
  <si>
    <t>13:34</t>
  </si>
  <si>
    <t>14:06</t>
  </si>
  <si>
    <t>14:12</t>
  </si>
  <si>
    <t>52</t>
  </si>
  <si>
    <t>10:07</t>
  </si>
  <si>
    <t>10:50</t>
  </si>
  <si>
    <t>10:43</t>
  </si>
  <si>
    <t>20:30</t>
  </si>
  <si>
    <t>20:36</t>
  </si>
  <si>
    <t>21:21</t>
  </si>
  <si>
    <t>21:26</t>
  </si>
  <si>
    <t>19:48</t>
  </si>
  <si>
    <t>74</t>
  </si>
  <si>
    <t>20:51</t>
  </si>
  <si>
    <t>B1597</t>
  </si>
  <si>
    <t>12:53</t>
  </si>
  <si>
    <t>127</t>
  </si>
  <si>
    <t>84</t>
  </si>
  <si>
    <t>12:49</t>
  </si>
  <si>
    <t>121</t>
  </si>
  <si>
    <t>09:25</t>
  </si>
  <si>
    <t>09:30</t>
  </si>
  <si>
    <t>10:01</t>
  </si>
  <si>
    <t>111</t>
  </si>
  <si>
    <t>13:20</t>
  </si>
  <si>
    <t>13:29</t>
  </si>
  <si>
    <t>11:05</t>
  </si>
  <si>
    <t>129</t>
  </si>
  <si>
    <t>08:15</t>
  </si>
  <si>
    <t>10:28</t>
  </si>
  <si>
    <t>20</t>
  </si>
  <si>
    <t>11:30</t>
  </si>
  <si>
    <t>11:34</t>
  </si>
  <si>
    <t>125</t>
  </si>
  <si>
    <t>15:05</t>
  </si>
  <si>
    <t>16:29</t>
  </si>
  <si>
    <t>140</t>
  </si>
  <si>
    <t>21:06</t>
  </si>
  <si>
    <t>21:46</t>
  </si>
  <si>
    <t>21:54</t>
  </si>
  <si>
    <t>147</t>
  </si>
  <si>
    <t>38</t>
  </si>
  <si>
    <t>86</t>
  </si>
  <si>
    <t>136</t>
  </si>
  <si>
    <t>151</t>
  </si>
  <si>
    <t>20:12</t>
  </si>
  <si>
    <t>15:32</t>
  </si>
  <si>
    <t>15:38</t>
  </si>
  <si>
    <t>16:12</t>
  </si>
  <si>
    <t>19:37</t>
  </si>
  <si>
    <t>94</t>
  </si>
  <si>
    <t>ID5011</t>
  </si>
  <si>
    <t>ID8883</t>
  </si>
  <si>
    <t>16:31</t>
  </si>
  <si>
    <t>43</t>
  </si>
  <si>
    <t>06:29</t>
  </si>
  <si>
    <t>11:36</t>
  </si>
  <si>
    <t>12:14</t>
  </si>
  <si>
    <t>12:26</t>
  </si>
  <si>
    <t>11:11</t>
  </si>
  <si>
    <t>09:46</t>
  </si>
  <si>
    <t>09:53</t>
  </si>
  <si>
    <t>09:36</t>
  </si>
  <si>
    <t>80</t>
  </si>
  <si>
    <t>13:42</t>
  </si>
  <si>
    <t>14:10</t>
  </si>
  <si>
    <t>142</t>
  </si>
  <si>
    <t>12:50</t>
  </si>
  <si>
    <t>10:40</t>
  </si>
  <si>
    <t>165</t>
  </si>
  <si>
    <t>11:09</t>
  </si>
  <si>
    <t>12:58</t>
  </si>
  <si>
    <t>153</t>
  </si>
  <si>
    <t>12:22</t>
  </si>
  <si>
    <t>12:19</t>
  </si>
  <si>
    <t>55</t>
  </si>
  <si>
    <t>13:24</t>
  </si>
  <si>
    <t>09:33</t>
  </si>
  <si>
    <t>09:27</t>
  </si>
  <si>
    <t>07:57</t>
  </si>
  <si>
    <t>06:40</t>
  </si>
  <si>
    <t>07:51</t>
  </si>
  <si>
    <t>160</t>
  </si>
  <si>
    <t>06:31</t>
  </si>
  <si>
    <t>17:02</t>
  </si>
  <si>
    <t>17:36</t>
  </si>
  <si>
    <t>DMK</t>
  </si>
  <si>
    <t>12:10</t>
  </si>
  <si>
    <t>11:14</t>
  </si>
  <si>
    <t>T7889</t>
  </si>
  <si>
    <t>ER3</t>
  </si>
  <si>
    <t>17:30</t>
  </si>
  <si>
    <t>06:36</t>
  </si>
  <si>
    <t>17:14</t>
  </si>
  <si>
    <t>B222A</t>
  </si>
  <si>
    <t>737</t>
  </si>
  <si>
    <t>19:24</t>
  </si>
  <si>
    <t>19:31</t>
  </si>
  <si>
    <t>20:42</t>
  </si>
  <si>
    <t>181</t>
  </si>
  <si>
    <t>175</t>
  </si>
  <si>
    <t>20:16</t>
  </si>
  <si>
    <t>20:25</t>
  </si>
  <si>
    <t>11:40</t>
  </si>
  <si>
    <t>11:37</t>
  </si>
  <si>
    <t>11:46</t>
  </si>
  <si>
    <t>177</t>
  </si>
  <si>
    <t>21:23</t>
  </si>
  <si>
    <t>21:47</t>
  </si>
  <si>
    <t>10:39</t>
  </si>
  <si>
    <t>10:03</t>
  </si>
  <si>
    <t>10:09</t>
  </si>
  <si>
    <t>10:47</t>
  </si>
  <si>
    <t>20:20</t>
  </si>
  <si>
    <t>21:36</t>
  </si>
  <si>
    <t>9MDAE</t>
  </si>
  <si>
    <t>13:51</t>
  </si>
  <si>
    <t>13:01</t>
  </si>
  <si>
    <t>13:40</t>
  </si>
  <si>
    <t>13:47</t>
  </si>
  <si>
    <t>9MAJH</t>
  </si>
  <si>
    <t>13:33</t>
  </si>
  <si>
    <t>172</t>
  </si>
  <si>
    <t>12:25</t>
  </si>
  <si>
    <t>9MAGT</t>
  </si>
  <si>
    <t>13:37</t>
  </si>
  <si>
    <t>12:27</t>
  </si>
  <si>
    <t>13:17</t>
  </si>
  <si>
    <t>13:54</t>
  </si>
  <si>
    <t>14:02</t>
  </si>
  <si>
    <t>06:38</t>
  </si>
  <si>
    <t>166</t>
  </si>
  <si>
    <t>17:05</t>
  </si>
  <si>
    <t>17:12</t>
  </si>
  <si>
    <t>GA8480</t>
  </si>
  <si>
    <t>GA8481</t>
  </si>
  <si>
    <t>06:39</t>
  </si>
  <si>
    <t>06:50</t>
  </si>
  <si>
    <t>07:59</t>
  </si>
  <si>
    <t>B1593</t>
  </si>
  <si>
    <t>20:59</t>
  </si>
  <si>
    <t>19:44</t>
  </si>
  <si>
    <t>163</t>
  </si>
  <si>
    <t>06:17</t>
  </si>
  <si>
    <t>06:26</t>
  </si>
  <si>
    <t>11:55</t>
  </si>
  <si>
    <t>12:02</t>
  </si>
  <si>
    <t>11:48</t>
  </si>
  <si>
    <t>11:43</t>
  </si>
  <si>
    <t>11:44</t>
  </si>
  <si>
    <t>11:52</t>
  </si>
  <si>
    <t>162</t>
  </si>
  <si>
    <t>GN070</t>
  </si>
  <si>
    <t>T73338</t>
  </si>
  <si>
    <t>TSA</t>
  </si>
  <si>
    <t>14:25</t>
  </si>
  <si>
    <t>14:08</t>
  </si>
  <si>
    <t>GN071</t>
  </si>
  <si>
    <t>GN068</t>
  </si>
  <si>
    <t>HSVIP</t>
  </si>
  <si>
    <t>CJM</t>
  </si>
  <si>
    <t>GN069</t>
  </si>
  <si>
    <t>14:15</t>
  </si>
  <si>
    <t>14:19</t>
  </si>
  <si>
    <t>09:34</t>
  </si>
  <si>
    <t>21:56</t>
  </si>
  <si>
    <t>21:49</t>
  </si>
  <si>
    <t>22:24</t>
  </si>
  <si>
    <t>14:41</t>
  </si>
  <si>
    <t>14:38</t>
  </si>
  <si>
    <t>14:44</t>
  </si>
  <si>
    <t>GN085</t>
  </si>
  <si>
    <t>6</t>
  </si>
  <si>
    <t>GN082</t>
  </si>
  <si>
    <t>9HJHK</t>
  </si>
  <si>
    <t>DF7</t>
  </si>
  <si>
    <t>GN083</t>
  </si>
  <si>
    <t>17:09</t>
  </si>
  <si>
    <t>21:32</t>
  </si>
  <si>
    <t>21:42</t>
  </si>
  <si>
    <t>10:42</t>
  </si>
  <si>
    <t>10:49</t>
  </si>
  <si>
    <t>13:08</t>
  </si>
  <si>
    <t>9MAQF</t>
  </si>
  <si>
    <t>13:39</t>
  </si>
  <si>
    <t>12:31</t>
  </si>
  <si>
    <t>13:58</t>
  </si>
  <si>
    <t>14:05</t>
  </si>
  <si>
    <t>102</t>
  </si>
  <si>
    <t>14:36</t>
  </si>
  <si>
    <t>9MRAP</t>
  </si>
  <si>
    <t>16:45</t>
  </si>
  <si>
    <t>16:41</t>
  </si>
  <si>
    <t>16:49</t>
  </si>
  <si>
    <t>17:24</t>
  </si>
  <si>
    <t>16:08</t>
  </si>
  <si>
    <t>16:36</t>
  </si>
  <si>
    <t>16:42</t>
  </si>
  <si>
    <t>10:05</t>
  </si>
  <si>
    <t>10:04</t>
  </si>
  <si>
    <t>10:13</t>
  </si>
  <si>
    <t>10:41</t>
  </si>
  <si>
    <t>10:48</t>
  </si>
  <si>
    <t>10:57</t>
  </si>
  <si>
    <t>07:50</t>
  </si>
  <si>
    <t>07:49</t>
  </si>
  <si>
    <t>08:51</t>
  </si>
  <si>
    <t>17:50</t>
  </si>
  <si>
    <t>17:57</t>
  </si>
  <si>
    <t>GN074</t>
  </si>
  <si>
    <t>9HVFI</t>
  </si>
  <si>
    <t>13:50</t>
  </si>
  <si>
    <t>GN075</t>
  </si>
  <si>
    <t>10:36</t>
  </si>
  <si>
    <t>GN072</t>
  </si>
  <si>
    <t>HKG</t>
  </si>
  <si>
    <t>GN073</t>
  </si>
  <si>
    <t>12:24</t>
  </si>
  <si>
    <t>13:57</t>
  </si>
  <si>
    <t>14:07</t>
  </si>
  <si>
    <t>14:23</t>
  </si>
  <si>
    <t>17:16</t>
  </si>
  <si>
    <t>17:22</t>
  </si>
  <si>
    <t>17:54</t>
  </si>
  <si>
    <t>21:58</t>
  </si>
  <si>
    <t>21:55</t>
  </si>
  <si>
    <t>22:01</t>
  </si>
  <si>
    <t>22:23</t>
  </si>
  <si>
    <t>07:10</t>
  </si>
  <si>
    <t>19:30</t>
  </si>
  <si>
    <t>20:24</t>
  </si>
  <si>
    <t>06:30</t>
  </si>
  <si>
    <t>07:19</t>
  </si>
  <si>
    <t>11:53</t>
  </si>
  <si>
    <t>11:47</t>
  </si>
  <si>
    <t>GN066</t>
  </si>
  <si>
    <t>9HVCF</t>
  </si>
  <si>
    <t>GN067</t>
  </si>
  <si>
    <t>GN062</t>
  </si>
  <si>
    <t>08:45</t>
  </si>
  <si>
    <t>08:11</t>
  </si>
  <si>
    <t>GN063</t>
  </si>
  <si>
    <t>SOQ018</t>
  </si>
  <si>
    <t>SOQ/SOQ HELISTAR CAMBODIA</t>
  </si>
  <si>
    <t>XU018</t>
  </si>
  <si>
    <t>AS350</t>
  </si>
  <si>
    <t>PNH</t>
  </si>
  <si>
    <t>GN064</t>
  </si>
  <si>
    <t>VPBMH</t>
  </si>
  <si>
    <t>GN065</t>
  </si>
  <si>
    <t>GN060</t>
  </si>
  <si>
    <t>17:15</t>
  </si>
  <si>
    <t>17:21</t>
  </si>
  <si>
    <t>GN061</t>
  </si>
  <si>
    <t>DEL</t>
  </si>
  <si>
    <t>N603BG</t>
  </si>
  <si>
    <t>FUK</t>
  </si>
  <si>
    <t>18:49</t>
  </si>
  <si>
    <t>18:44</t>
  </si>
  <si>
    <t>GN059</t>
  </si>
  <si>
    <t>KIX</t>
  </si>
  <si>
    <t>19:32</t>
  </si>
  <si>
    <t>19:34</t>
  </si>
  <si>
    <t>09:57</t>
  </si>
  <si>
    <t>20:18</t>
  </si>
  <si>
    <t>21:14</t>
  </si>
  <si>
    <t>9MRAU</t>
  </si>
  <si>
    <t>9MAJD</t>
  </si>
  <si>
    <t>9MNEO</t>
  </si>
  <si>
    <t>14:09</t>
  </si>
  <si>
    <t>15:39</t>
  </si>
  <si>
    <t>16:40</t>
  </si>
  <si>
    <t>12:44</t>
  </si>
  <si>
    <t>O</t>
  </si>
  <si>
    <t>10:54</t>
  </si>
  <si>
    <t>12:03</t>
  </si>
  <si>
    <t>ER00011</t>
  </si>
  <si>
    <t>85</t>
  </si>
  <si>
    <t>21:18</t>
  </si>
  <si>
    <t>11:22</t>
  </si>
  <si>
    <t>15:55</t>
  </si>
  <si>
    <t>16:03</t>
  </si>
  <si>
    <t>16:43</t>
  </si>
  <si>
    <t>19:55</t>
  </si>
  <si>
    <t>20:38</t>
  </si>
  <si>
    <t>20:46</t>
  </si>
  <si>
    <t>77</t>
  </si>
  <si>
    <t>19:49</t>
  </si>
  <si>
    <t>19:57</t>
  </si>
  <si>
    <t>20:47</t>
  </si>
  <si>
    <t>19:38</t>
  </si>
  <si>
    <t>20:27</t>
  </si>
  <si>
    <t>78</t>
  </si>
  <si>
    <t>11:32</t>
  </si>
  <si>
    <t>139</t>
  </si>
  <si>
    <t>9MAHL</t>
  </si>
  <si>
    <t>13:28</t>
  </si>
  <si>
    <t>9MAQG</t>
  </si>
  <si>
    <t>13:48</t>
  </si>
  <si>
    <t>11:21</t>
  </si>
  <si>
    <t>GN056</t>
  </si>
  <si>
    <t>18:15</t>
  </si>
  <si>
    <t>17:58</t>
  </si>
  <si>
    <t>18:04</t>
  </si>
  <si>
    <t>GN057</t>
  </si>
  <si>
    <t>08:18</t>
  </si>
  <si>
    <t>08:31</t>
  </si>
  <si>
    <t>GN054</t>
  </si>
  <si>
    <t>GN055</t>
  </si>
  <si>
    <t>07:33</t>
  </si>
  <si>
    <t>07:35</t>
  </si>
  <si>
    <t>19:46</t>
  </si>
  <si>
    <t>132</t>
  </si>
  <si>
    <t>73</t>
  </si>
  <si>
    <t>9MAJN</t>
  </si>
  <si>
    <t>09:28</t>
  </si>
  <si>
    <t>09:59</t>
  </si>
  <si>
    <t>100</t>
  </si>
  <si>
    <t>07:24</t>
  </si>
  <si>
    <t>07:31</t>
  </si>
  <si>
    <t>06:24</t>
  </si>
  <si>
    <t>07:32</t>
  </si>
  <si>
    <t>XU238</t>
  </si>
  <si>
    <t>17:08</t>
  </si>
  <si>
    <t>17:35</t>
  </si>
  <si>
    <t>09:29</t>
  </si>
  <si>
    <t>09:24</t>
  </si>
  <si>
    <t>17:46</t>
  </si>
  <si>
    <t>17:52</t>
  </si>
  <si>
    <t>19:53</t>
  </si>
  <si>
    <t>Arr.Pax</t>
  </si>
  <si>
    <t xml:space="preserve">Arrival From </t>
  </si>
  <si>
    <t>Dept. To</t>
  </si>
  <si>
    <t>PaxInFlight</t>
  </si>
  <si>
    <t>K6135-SAI</t>
  </si>
  <si>
    <t>DR5029-KMG</t>
  </si>
  <si>
    <t>KT174-KUL</t>
  </si>
  <si>
    <t>K6131-SAI</t>
  </si>
  <si>
    <t>GN056-SZB</t>
  </si>
  <si>
    <t>GN054-SZB</t>
  </si>
  <si>
    <t>K6839-SGN</t>
  </si>
  <si>
    <t>K6133-SAI</t>
  </si>
  <si>
    <t>AK264-KUL</t>
  </si>
  <si>
    <t>K6931-SZX</t>
  </si>
  <si>
    <t>DR5031-WUX</t>
  </si>
  <si>
    <t>KR831-KTI</t>
  </si>
  <si>
    <t>KR962-TFU</t>
  </si>
  <si>
    <t>GN058-FUK</t>
  </si>
  <si>
    <t>SOQ018-PNH</t>
  </si>
  <si>
    <t>GN060-SZB</t>
  </si>
  <si>
    <t>GN062-KTI</t>
  </si>
  <si>
    <t>GN064-XSP</t>
  </si>
  <si>
    <t>GN066-VTE</t>
  </si>
  <si>
    <t>GN070-TSA</t>
  </si>
  <si>
    <t>GN068-DMK</t>
  </si>
  <si>
    <t>GN072-HKG</t>
  </si>
  <si>
    <t>GN084-XSP</t>
  </si>
  <si>
    <t>GN082-SGN</t>
  </si>
  <si>
    <t>GN074-XSP</t>
  </si>
  <si>
    <t>ID8882-CGK</t>
  </si>
  <si>
    <t>GA8480-CGK</t>
  </si>
  <si>
    <t>GA8491-CGK</t>
  </si>
  <si>
    <t>GN086-CGK</t>
  </si>
  <si>
    <t>ID5011-KNO</t>
  </si>
  <si>
    <t>GN076-KTI</t>
  </si>
  <si>
    <t>GN088-SZB</t>
  </si>
  <si>
    <t>ZA1219-KTI</t>
  </si>
  <si>
    <t>K6838-SGN</t>
  </si>
  <si>
    <t>DR5030-KMG</t>
  </si>
  <si>
    <t>KT175-KUL</t>
  </si>
  <si>
    <t>K6130-SAI</t>
  </si>
  <si>
    <t>GN057-HKG</t>
  </si>
  <si>
    <t>GN055-SZB</t>
  </si>
  <si>
    <t>K6930-SZX</t>
  </si>
  <si>
    <t>K6132-SAI</t>
  </si>
  <si>
    <t>AK265-KUL</t>
  </si>
  <si>
    <t>DR5032-WUX</t>
  </si>
  <si>
    <t>KR961-TFU</t>
  </si>
  <si>
    <t>KR832-KTI</t>
  </si>
  <si>
    <t>GN059-KIX</t>
  </si>
  <si>
    <t>SOQ018-SAI</t>
  </si>
  <si>
    <t>GN061-DEL</t>
  </si>
  <si>
    <t>GN063-SZB</t>
  </si>
  <si>
    <t>GN065-XSP</t>
  </si>
  <si>
    <t>GN067-XSP</t>
  </si>
  <si>
    <t>GN071-SZB</t>
  </si>
  <si>
    <t>GN069-DMK</t>
  </si>
  <si>
    <t>GN073-XSP</t>
  </si>
  <si>
    <t>GN085-CGK</t>
  </si>
  <si>
    <t>GN083-SZB</t>
  </si>
  <si>
    <t>GN075-KUL</t>
  </si>
  <si>
    <t>ID5010-KNO</t>
  </si>
  <si>
    <t>GA8481-CGK</t>
  </si>
  <si>
    <t>GA8490-CGK</t>
  </si>
  <si>
    <t>GN087-CGK</t>
  </si>
  <si>
    <t>ID8883-CGK</t>
  </si>
  <si>
    <t>GN077-SGN</t>
  </si>
  <si>
    <t>GN089-SZB</t>
  </si>
  <si>
    <t>Row Labels</t>
  </si>
  <si>
    <t>Grand Total</t>
  </si>
  <si>
    <t>Sum of Arr.Pax</t>
  </si>
  <si>
    <t>K2/KHM AIR CAMBODIA</t>
  </si>
  <si>
    <t>DRM/RLH RUILL AIRLINES</t>
  </si>
  <si>
    <t>KTH/KTC AIRASIE CAMBODIA</t>
  </si>
  <si>
    <t>AKX/AXM AIRASIA</t>
  </si>
  <si>
    <t>ZAB/SWMW SKY ANGKOR AIRLINES</t>
  </si>
  <si>
    <t>Total Arrival</t>
  </si>
  <si>
    <t>Total in Departure</t>
  </si>
  <si>
    <t>Sum of January Pax</t>
  </si>
  <si>
    <t>Flight Counts</t>
  </si>
  <si>
    <t>WeekNumber</t>
  </si>
  <si>
    <t>Total weekly pax</t>
  </si>
  <si>
    <t>Operators</t>
  </si>
  <si>
    <t>Pax load</t>
  </si>
  <si>
    <t>Arrival Routes</t>
  </si>
  <si>
    <t>Weekly SUM</t>
  </si>
  <si>
    <t>All</t>
  </si>
  <si>
    <t xml:space="preserve">Operator </t>
  </si>
  <si>
    <t>Percentage of Pax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</si>
</sst>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rgb="FF000000"/>
      <name val="Calibri"/>
    </font>
    <font>
      <b/>
      <sz val="11"/>
      <color rgb="FF000000"/>
      <name val="Calibri"/>
    </font>
  </fonts>
  <fills count="3">
    <fill>
      <patternFill patternType="none"/>
    </fill>
    <fill>
      <patternFill patternType="gray125"/>
    </fill>
    <fill>
      <patternFill patternType="solid">
        <fgColor theme="1" tint="0.499984740745262"/>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1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NumberFormat="1"/>
    <xf numFmtId="9" fontId="0" fillId="0" borderId="0" xfId="0" applyNumberFormat="1"/>
    <xf numFmtId="0" fontId="0" fillId="2" borderId="0" xfId="0" applyFill="1"/>
  </cellXfs>
  <cellStyles count="1">
    <cellStyle name="Normal" xfId="0" builtinId="0"/>
  </cellStyles>
  <dxfs count="5">
    <dxf>
      <numFmt numFmtId="20" formatCode="d\-mmm\-yy"/>
    </dxf>
    <dxf>
      <numFmt numFmtId="20" formatCode="d\-mmm\-yy"/>
    </dxf>
    <dxf>
      <numFmt numFmtId="20" formatCode="d\-mmm\-yy"/>
    </dxf>
    <dxf>
      <numFmt numFmtId="20" formatCode="d\-mmm\-yy"/>
    </dxf>
    <dxf>
      <font>
        <b/>
        <i val="0"/>
        <strike val="0"/>
        <condense val="0"/>
        <extend val="0"/>
        <outline val="0"/>
        <shadow val="0"/>
        <u val="none"/>
        <vertAlign val="baseline"/>
        <sz val="11"/>
        <color rgb="FF000000"/>
        <name val="Calibri"/>
        <scheme val="none"/>
      </font>
    </dxf>
  </dxfs>
  <tableStyles count="1" defaultTableStyle="TableStyleMedium2" defaultPivotStyle="PivotStyleLight16">
    <tableStyle name="Invisible" pivot="0" table="0" count="0" xr9:uid="{EF8FB533-499D-43BE-824A-0F64BD45754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openxmlformats.org/officeDocument/2006/relationships/sheetMetadata" Target="metadata.xml"/><Relationship Id="rId26" Type="http://schemas.openxmlformats.org/officeDocument/2006/relationships/customXml" Target="../customXml/item6.xml"/><Relationship Id="rId39" Type="http://schemas.openxmlformats.org/officeDocument/2006/relationships/customXml" Target="../customXml/item19.xml"/><Relationship Id="rId21" Type="http://schemas.openxmlformats.org/officeDocument/2006/relationships/customXml" Target="../customXml/item1.xml"/><Relationship Id="rId34" Type="http://schemas.openxmlformats.org/officeDocument/2006/relationships/customXml" Target="../customXml/item14.xml"/><Relationship Id="rId42" Type="http://schemas.openxmlformats.org/officeDocument/2006/relationships/customXml" Target="../customXml/item22.xml"/><Relationship Id="rId47" Type="http://schemas.openxmlformats.org/officeDocument/2006/relationships/customXml" Target="../customXml/item27.xml"/><Relationship Id="rId50" Type="http://schemas.openxmlformats.org/officeDocument/2006/relationships/customXml" Target="../customXml/item30.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tyles" Target="styles.xml"/><Relationship Id="rId29" Type="http://schemas.openxmlformats.org/officeDocument/2006/relationships/customXml" Target="../customXml/item9.xml"/><Relationship Id="rId11" Type="http://schemas.openxmlformats.org/officeDocument/2006/relationships/pivotCacheDefinition" Target="pivotCache/pivotCacheDefinition7.xml"/><Relationship Id="rId24" Type="http://schemas.openxmlformats.org/officeDocument/2006/relationships/customXml" Target="../customXml/item4.xml"/><Relationship Id="rId32" Type="http://schemas.openxmlformats.org/officeDocument/2006/relationships/customXml" Target="../customXml/item12.xml"/><Relationship Id="rId37" Type="http://schemas.openxmlformats.org/officeDocument/2006/relationships/customXml" Target="../customXml/item17.xml"/><Relationship Id="rId40" Type="http://schemas.openxmlformats.org/officeDocument/2006/relationships/customXml" Target="../customXml/item20.xml"/><Relationship Id="rId45" Type="http://schemas.openxmlformats.org/officeDocument/2006/relationships/customXml" Target="../customXml/item25.xml"/><Relationship Id="rId5" Type="http://schemas.openxmlformats.org/officeDocument/2006/relationships/pivotCacheDefinition" Target="pivotCache/pivotCacheDefinition1.xml"/><Relationship Id="rId15" Type="http://schemas.openxmlformats.org/officeDocument/2006/relationships/connections" Target="connections.xml"/><Relationship Id="rId23" Type="http://schemas.openxmlformats.org/officeDocument/2006/relationships/customXml" Target="../customXml/item3.xml"/><Relationship Id="rId28" Type="http://schemas.openxmlformats.org/officeDocument/2006/relationships/customXml" Target="../customXml/item8.xml"/><Relationship Id="rId36" Type="http://schemas.openxmlformats.org/officeDocument/2006/relationships/customXml" Target="../customXml/item16.xml"/><Relationship Id="rId49" Type="http://schemas.openxmlformats.org/officeDocument/2006/relationships/customXml" Target="../customXml/item29.xml"/><Relationship Id="rId10" Type="http://schemas.openxmlformats.org/officeDocument/2006/relationships/pivotCacheDefinition" Target="pivotCache/pivotCacheDefinition6.xml"/><Relationship Id="rId19" Type="http://schemas.openxmlformats.org/officeDocument/2006/relationships/powerPivotData" Target="model/item.data"/><Relationship Id="rId31" Type="http://schemas.openxmlformats.org/officeDocument/2006/relationships/customXml" Target="../customXml/item11.xml"/><Relationship Id="rId44" Type="http://schemas.openxmlformats.org/officeDocument/2006/relationships/customXml" Target="../customXml/item2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theme" Target="theme/theme1.xml"/><Relationship Id="rId22" Type="http://schemas.openxmlformats.org/officeDocument/2006/relationships/customXml" Target="../customXml/item2.xml"/><Relationship Id="rId27" Type="http://schemas.openxmlformats.org/officeDocument/2006/relationships/customXml" Target="../customXml/item7.xml"/><Relationship Id="rId30" Type="http://schemas.openxmlformats.org/officeDocument/2006/relationships/customXml" Target="../customXml/item10.xml"/><Relationship Id="rId35" Type="http://schemas.openxmlformats.org/officeDocument/2006/relationships/customXml" Target="../customXml/item15.xml"/><Relationship Id="rId43" Type="http://schemas.openxmlformats.org/officeDocument/2006/relationships/customXml" Target="../customXml/item23.xml"/><Relationship Id="rId48" Type="http://schemas.openxmlformats.org/officeDocument/2006/relationships/customXml" Target="../customXml/item28.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pivotCacheDefinition" Target="pivotCache/pivotCacheDefinition8.xml"/><Relationship Id="rId17" Type="http://schemas.openxmlformats.org/officeDocument/2006/relationships/sharedStrings" Target="sharedStrings.xml"/><Relationship Id="rId25" Type="http://schemas.openxmlformats.org/officeDocument/2006/relationships/customXml" Target="../customXml/item5.xml"/><Relationship Id="rId33" Type="http://schemas.openxmlformats.org/officeDocument/2006/relationships/customXml" Target="../customXml/item13.xml"/><Relationship Id="rId38" Type="http://schemas.openxmlformats.org/officeDocument/2006/relationships/customXml" Target="../customXml/item18.xml"/><Relationship Id="rId46" Type="http://schemas.openxmlformats.org/officeDocument/2006/relationships/customXml" Target="../customXml/item26.xml"/><Relationship Id="rId20" Type="http://schemas.openxmlformats.org/officeDocument/2006/relationships/calcChain" Target="calcChain.xml"/><Relationship Id="rId41" Type="http://schemas.openxmlformats.org/officeDocument/2006/relationships/customXml" Target="../customXml/item21.xml"/><Relationship Id="rId1" Type="http://schemas.openxmlformats.org/officeDocument/2006/relationships/worksheet" Target="worksheets/sheet1.xml"/><Relationship Id="rId6"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factor.xlsx]Analysis!Weekly Pax</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 weekly pax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1</c:v>
                </c:pt>
                <c:pt idx="1">
                  <c:v>2</c:v>
                </c:pt>
                <c:pt idx="2">
                  <c:v>3</c:v>
                </c:pt>
                <c:pt idx="3">
                  <c:v>4</c:v>
                </c:pt>
                <c:pt idx="4">
                  <c:v>5</c:v>
                </c:pt>
              </c:strCache>
            </c:strRef>
          </c:cat>
          <c:val>
            <c:numRef>
              <c:f>Analysis!$B$6:$B$11</c:f>
              <c:numCache>
                <c:formatCode>General</c:formatCode>
                <c:ptCount val="5"/>
                <c:pt idx="0">
                  <c:v>2639</c:v>
                </c:pt>
                <c:pt idx="1">
                  <c:v>5696</c:v>
                </c:pt>
                <c:pt idx="2">
                  <c:v>5798</c:v>
                </c:pt>
                <c:pt idx="3">
                  <c:v>5590</c:v>
                </c:pt>
                <c:pt idx="4">
                  <c:v>5619</c:v>
                </c:pt>
              </c:numCache>
            </c:numRef>
          </c:val>
          <c:extLst>
            <c:ext xmlns:c16="http://schemas.microsoft.com/office/drawing/2014/chart" uri="{C3380CC4-5D6E-409C-BE32-E72D297353CC}">
              <c16:uniqueId val="{0000000A-11E2-421D-A71A-53B4851B306D}"/>
            </c:ext>
          </c:extLst>
        </c:ser>
        <c:ser>
          <c:idx val="1"/>
          <c:order val="1"/>
          <c:tx>
            <c:strRef>
              <c:f>Analysis!$C$5</c:f>
              <c:strCache>
                <c:ptCount val="1"/>
                <c:pt idx="0">
                  <c:v>Flight Counts</c:v>
                </c:pt>
              </c:strCache>
            </c:strRef>
          </c:tx>
          <c:spPr>
            <a:solidFill>
              <a:schemeClr val="accent2"/>
            </a:solidFill>
            <a:ln>
              <a:noFill/>
            </a:ln>
            <a:effectLst/>
          </c:spPr>
          <c:invertIfNegative val="0"/>
          <c:dLbls>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1</c:v>
                </c:pt>
                <c:pt idx="1">
                  <c:v>2</c:v>
                </c:pt>
                <c:pt idx="2">
                  <c:v>3</c:v>
                </c:pt>
                <c:pt idx="3">
                  <c:v>4</c:v>
                </c:pt>
                <c:pt idx="4">
                  <c:v>5</c:v>
                </c:pt>
              </c:strCache>
            </c:strRef>
          </c:cat>
          <c:val>
            <c:numRef>
              <c:f>Analysis!$C$6:$C$11</c:f>
              <c:numCache>
                <c:formatCode>General</c:formatCode>
                <c:ptCount val="5"/>
                <c:pt idx="0">
                  <c:v>16</c:v>
                </c:pt>
                <c:pt idx="1">
                  <c:v>32</c:v>
                </c:pt>
                <c:pt idx="2">
                  <c:v>34</c:v>
                </c:pt>
                <c:pt idx="3">
                  <c:v>37</c:v>
                </c:pt>
                <c:pt idx="4">
                  <c:v>41</c:v>
                </c:pt>
              </c:numCache>
            </c:numRef>
          </c:val>
          <c:extLst>
            <c:ext xmlns:c16="http://schemas.microsoft.com/office/drawing/2014/chart" uri="{C3380CC4-5D6E-409C-BE32-E72D297353CC}">
              <c16:uniqueId val="{0000000B-11E2-421D-A71A-53B4851B306D}"/>
            </c:ext>
          </c:extLst>
        </c:ser>
        <c:dLbls>
          <c:dLblPos val="outEnd"/>
          <c:showLegendKey val="0"/>
          <c:showVal val="1"/>
          <c:showCatName val="0"/>
          <c:showSerName val="0"/>
          <c:showPercent val="0"/>
          <c:showBubbleSize val="0"/>
        </c:dLbls>
        <c:gapWidth val="219"/>
        <c:overlap val="-27"/>
        <c:axId val="1636662943"/>
        <c:axId val="1386390319"/>
      </c:barChart>
      <c:catAx>
        <c:axId val="163666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0319"/>
        <c:crosses val="autoZero"/>
        <c:auto val="1"/>
        <c:lblAlgn val="ctr"/>
        <c:lblOffset val="100"/>
        <c:noMultiLvlLbl val="0"/>
      </c:catAx>
      <c:valAx>
        <c:axId val="138639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6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factor.xlsx]Analysis!PaxByOperator</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Pax by Operators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Analysis!$A$14:$A$24</c:f>
              <c:strCache>
                <c:ptCount val="10"/>
                <c:pt idx="0">
                  <c:v>SOQ/SOQ HELISTAR CAMBODIA</c:v>
                </c:pt>
                <c:pt idx="1">
                  <c:v>GA/GIA GARUDA INDONESIA</c:v>
                </c:pt>
                <c:pt idx="2">
                  <c:v>ZAB/SWMW SKY ANGKOR AIRLINES</c:v>
                </c:pt>
                <c:pt idx="3">
                  <c:v>ID/BTK BATIK AIR</c:v>
                </c:pt>
                <c:pt idx="4">
                  <c:v>GN/AGN CHARTER</c:v>
                </c:pt>
                <c:pt idx="5">
                  <c:v>KR/KME CAMBODIA AIRWAYS</c:v>
                </c:pt>
                <c:pt idx="6">
                  <c:v>DRM/RLH RUILL AIRLINES</c:v>
                </c:pt>
                <c:pt idx="7">
                  <c:v>KTH/KTC AIRASIE CAMBODIA</c:v>
                </c:pt>
                <c:pt idx="8">
                  <c:v>AKX/AXM AIRASIA</c:v>
                </c:pt>
                <c:pt idx="9">
                  <c:v>K2/KHM AIR CAMBODIA</c:v>
                </c:pt>
              </c:strCache>
            </c:strRef>
          </c:cat>
          <c:val>
            <c:numRef>
              <c:f>Analysis!$B$14:$B$24</c:f>
              <c:numCache>
                <c:formatCode>General</c:formatCode>
                <c:ptCount val="10"/>
                <c:pt idx="0">
                  <c:v>1</c:v>
                </c:pt>
                <c:pt idx="1">
                  <c:v>2</c:v>
                </c:pt>
                <c:pt idx="2">
                  <c:v>4</c:v>
                </c:pt>
                <c:pt idx="3">
                  <c:v>92</c:v>
                </c:pt>
                <c:pt idx="4">
                  <c:v>180</c:v>
                </c:pt>
                <c:pt idx="5">
                  <c:v>580</c:v>
                </c:pt>
                <c:pt idx="6">
                  <c:v>3278</c:v>
                </c:pt>
                <c:pt idx="7">
                  <c:v>4006</c:v>
                </c:pt>
                <c:pt idx="8">
                  <c:v>5039</c:v>
                </c:pt>
                <c:pt idx="9">
                  <c:v>12160</c:v>
                </c:pt>
              </c:numCache>
            </c:numRef>
          </c:val>
          <c:extLst>
            <c:ext xmlns:c16="http://schemas.microsoft.com/office/drawing/2014/chart" uri="{C3380CC4-5D6E-409C-BE32-E72D297353CC}">
              <c16:uniqueId val="{00000022-B747-4EB4-B18B-FA557D0D05B6}"/>
            </c:ext>
          </c:extLst>
        </c:ser>
        <c:dLbls>
          <c:dLblPos val="outEnd"/>
          <c:showLegendKey val="0"/>
          <c:showVal val="1"/>
          <c:showCatName val="0"/>
          <c:showSerName val="0"/>
          <c:showPercent val="0"/>
          <c:showBubbleSize val="0"/>
        </c:dLbls>
        <c:gapWidth val="182"/>
        <c:axId val="1636651343"/>
        <c:axId val="9606512"/>
      </c:barChart>
      <c:catAx>
        <c:axId val="16366513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512"/>
        <c:crosses val="autoZero"/>
        <c:auto val="1"/>
        <c:lblAlgn val="ctr"/>
        <c:lblOffset val="100"/>
        <c:noMultiLvlLbl val="0"/>
      </c:catAx>
      <c:valAx>
        <c:axId val="960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5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factor.xlsx]Analysis!TopArrivalRoute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Arrival</a:t>
            </a:r>
            <a:r>
              <a:rPr lang="en-US" baseline="0"/>
              <a:t> Routes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Analysis!$A$28:$A$38</c:f>
              <c:strCache>
                <c:ptCount val="10"/>
                <c:pt idx="0">
                  <c:v>K6131-SAI</c:v>
                </c:pt>
                <c:pt idx="1">
                  <c:v>AK264-KUL</c:v>
                </c:pt>
                <c:pt idx="2">
                  <c:v>KT174-KUL</c:v>
                </c:pt>
                <c:pt idx="3">
                  <c:v>K6839-SGN</c:v>
                </c:pt>
                <c:pt idx="4">
                  <c:v>DR5029-KMG</c:v>
                </c:pt>
                <c:pt idx="5">
                  <c:v>K6931-SZX</c:v>
                </c:pt>
                <c:pt idx="6">
                  <c:v>K6133-SAI</c:v>
                </c:pt>
                <c:pt idx="7">
                  <c:v>K6135-SAI</c:v>
                </c:pt>
                <c:pt idx="8">
                  <c:v>DR5031-WUX</c:v>
                </c:pt>
                <c:pt idx="9">
                  <c:v>KR962-TFU</c:v>
                </c:pt>
              </c:strCache>
            </c:strRef>
          </c:cat>
          <c:val>
            <c:numRef>
              <c:f>Analysis!$B$28:$B$38</c:f>
              <c:numCache>
                <c:formatCode>General</c:formatCode>
                <c:ptCount val="10"/>
                <c:pt idx="0">
                  <c:v>2435</c:v>
                </c:pt>
                <c:pt idx="1">
                  <c:v>2363</c:v>
                </c:pt>
                <c:pt idx="2">
                  <c:v>1820</c:v>
                </c:pt>
                <c:pt idx="3">
                  <c:v>1429</c:v>
                </c:pt>
                <c:pt idx="4">
                  <c:v>1022</c:v>
                </c:pt>
                <c:pt idx="5">
                  <c:v>977</c:v>
                </c:pt>
                <c:pt idx="6">
                  <c:v>529</c:v>
                </c:pt>
                <c:pt idx="7">
                  <c:v>464</c:v>
                </c:pt>
                <c:pt idx="8">
                  <c:v>336</c:v>
                </c:pt>
                <c:pt idx="9">
                  <c:v>120</c:v>
                </c:pt>
              </c:numCache>
            </c:numRef>
          </c:val>
          <c:extLst>
            <c:ext xmlns:c16="http://schemas.microsoft.com/office/drawing/2014/chart" uri="{C3380CC4-5D6E-409C-BE32-E72D297353CC}">
              <c16:uniqueId val="{00000005-A258-4EE7-B98C-E7806ABBDADC}"/>
            </c:ext>
          </c:extLst>
        </c:ser>
        <c:dLbls>
          <c:dLblPos val="outEnd"/>
          <c:showLegendKey val="0"/>
          <c:showVal val="1"/>
          <c:showCatName val="0"/>
          <c:showSerName val="0"/>
          <c:showPercent val="0"/>
          <c:showBubbleSize val="0"/>
        </c:dLbls>
        <c:gapWidth val="219"/>
        <c:overlap val="-27"/>
        <c:axId val="85178416"/>
        <c:axId val="9585872"/>
      </c:barChart>
      <c:catAx>
        <c:axId val="851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872"/>
        <c:crosses val="autoZero"/>
        <c:auto val="1"/>
        <c:lblAlgn val="ctr"/>
        <c:lblOffset val="100"/>
        <c:noMultiLvlLbl val="0"/>
      </c:catAx>
      <c:valAx>
        <c:axId val="958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factor.xlsx]Analysis!TopDeparture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Departure Routes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Analysis!$B$63</c:f>
              <c:strCache>
                <c:ptCount val="1"/>
                <c:pt idx="0">
                  <c:v>Total</c:v>
                </c:pt>
              </c:strCache>
            </c:strRef>
          </c:tx>
          <c:spPr>
            <a:solidFill>
              <a:schemeClr val="accent4"/>
            </a:solidFill>
            <a:ln w="25400" cap="flat" cmpd="sng" algn="ctr">
              <a:solidFill>
                <a:schemeClr val="lt1"/>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Analysis!$A$64:$A$74</c:f>
              <c:strCache>
                <c:ptCount val="10"/>
                <c:pt idx="0">
                  <c:v>AK265-KUL</c:v>
                </c:pt>
                <c:pt idx="1">
                  <c:v>K6838-SGN</c:v>
                </c:pt>
                <c:pt idx="2">
                  <c:v>KT175-KUL</c:v>
                </c:pt>
                <c:pt idx="3">
                  <c:v>K6130-SAI</c:v>
                </c:pt>
                <c:pt idx="4">
                  <c:v>DR5030-KMG</c:v>
                </c:pt>
                <c:pt idx="5">
                  <c:v>K6930-SZX</c:v>
                </c:pt>
                <c:pt idx="6">
                  <c:v>DR5032-WUX</c:v>
                </c:pt>
                <c:pt idx="7">
                  <c:v>KR961-TFU</c:v>
                </c:pt>
                <c:pt idx="8">
                  <c:v>K6132-SAI</c:v>
                </c:pt>
                <c:pt idx="9">
                  <c:v>ID8883-CGK</c:v>
                </c:pt>
              </c:strCache>
            </c:strRef>
          </c:cat>
          <c:val>
            <c:numRef>
              <c:f>Analysis!$B$64:$B$74</c:f>
              <c:numCache>
                <c:formatCode>0</c:formatCode>
                <c:ptCount val="10"/>
                <c:pt idx="0">
                  <c:v>2676</c:v>
                </c:pt>
                <c:pt idx="1">
                  <c:v>2446</c:v>
                </c:pt>
                <c:pt idx="2">
                  <c:v>2186</c:v>
                </c:pt>
                <c:pt idx="3">
                  <c:v>2114</c:v>
                </c:pt>
                <c:pt idx="4">
                  <c:v>1409</c:v>
                </c:pt>
                <c:pt idx="5">
                  <c:v>1325</c:v>
                </c:pt>
                <c:pt idx="6">
                  <c:v>511</c:v>
                </c:pt>
                <c:pt idx="7">
                  <c:v>452</c:v>
                </c:pt>
                <c:pt idx="8">
                  <c:v>441</c:v>
                </c:pt>
                <c:pt idx="9">
                  <c:v>44</c:v>
                </c:pt>
              </c:numCache>
            </c:numRef>
          </c:val>
          <c:extLst>
            <c:ext xmlns:c16="http://schemas.microsoft.com/office/drawing/2014/chart" uri="{C3380CC4-5D6E-409C-BE32-E72D297353CC}">
              <c16:uniqueId val="{00000005-32C5-451E-9FB5-796FA1986DAE}"/>
            </c:ext>
          </c:extLst>
        </c:ser>
        <c:dLbls>
          <c:dLblPos val="outEnd"/>
          <c:showLegendKey val="0"/>
          <c:showVal val="1"/>
          <c:showCatName val="0"/>
          <c:showSerName val="0"/>
          <c:showPercent val="0"/>
          <c:showBubbleSize val="0"/>
        </c:dLbls>
        <c:gapWidth val="219"/>
        <c:overlap val="-27"/>
        <c:axId val="265942688"/>
        <c:axId val="9585392"/>
      </c:barChart>
      <c:catAx>
        <c:axId val="2659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392"/>
        <c:crosses val="autoZero"/>
        <c:auto val="1"/>
        <c:lblAlgn val="ctr"/>
        <c:lblOffset val="100"/>
        <c:noMultiLvlLbl val="0"/>
      </c:catAx>
      <c:valAx>
        <c:axId val="958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Arrival VS Depature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Analysis!$B$99</c:f>
              <c:strCache>
                <c:ptCount val="1"/>
                <c:pt idx="0">
                  <c:v>Total Arrival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Analysis!$A$100:$A$105</c:f>
              <c:strCache>
                <c:ptCount val="5"/>
                <c:pt idx="0">
                  <c:v>1</c:v>
                </c:pt>
                <c:pt idx="1">
                  <c:v>2</c:v>
                </c:pt>
                <c:pt idx="2">
                  <c:v>3</c:v>
                </c:pt>
                <c:pt idx="3">
                  <c:v>4</c:v>
                </c:pt>
                <c:pt idx="4">
                  <c:v>5</c:v>
                </c:pt>
              </c:strCache>
            </c:strRef>
          </c:cat>
          <c:val>
            <c:numRef>
              <c:f>Analysis!$B$100:$B$105</c:f>
              <c:numCache>
                <c:formatCode>0</c:formatCode>
                <c:ptCount val="5"/>
                <c:pt idx="0">
                  <c:v>1424</c:v>
                </c:pt>
                <c:pt idx="1">
                  <c:v>3074</c:v>
                </c:pt>
                <c:pt idx="2">
                  <c:v>2730</c:v>
                </c:pt>
                <c:pt idx="3">
                  <c:v>2182</c:v>
                </c:pt>
                <c:pt idx="4">
                  <c:v>2201</c:v>
                </c:pt>
              </c:numCache>
            </c:numRef>
          </c:val>
          <c:extLst>
            <c:ext xmlns:c16="http://schemas.microsoft.com/office/drawing/2014/chart" uri="{C3380CC4-5D6E-409C-BE32-E72D297353CC}">
              <c16:uniqueId val="{00000000-E0F0-4661-A0A0-C6E78CC2070E}"/>
            </c:ext>
          </c:extLst>
        </c:ser>
        <c:ser>
          <c:idx val="1"/>
          <c:order val="1"/>
          <c:tx>
            <c:strRef>
              <c:f>Analysis!$C$99</c:f>
              <c:strCache>
                <c:ptCount val="1"/>
                <c:pt idx="0">
                  <c:v>Total in Departure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Analysis!$A$100:$A$105</c:f>
              <c:strCache>
                <c:ptCount val="5"/>
                <c:pt idx="0">
                  <c:v>1</c:v>
                </c:pt>
                <c:pt idx="1">
                  <c:v>2</c:v>
                </c:pt>
                <c:pt idx="2">
                  <c:v>3</c:v>
                </c:pt>
                <c:pt idx="3">
                  <c:v>4</c:v>
                </c:pt>
                <c:pt idx="4">
                  <c:v>5</c:v>
                </c:pt>
              </c:strCache>
            </c:strRef>
          </c:cat>
          <c:val>
            <c:numRef>
              <c:f>Analysis!$C$100:$C$105</c:f>
              <c:numCache>
                <c:formatCode>0</c:formatCode>
                <c:ptCount val="5"/>
                <c:pt idx="0">
                  <c:v>1215</c:v>
                </c:pt>
                <c:pt idx="1">
                  <c:v>2622</c:v>
                </c:pt>
                <c:pt idx="2">
                  <c:v>3068</c:v>
                </c:pt>
                <c:pt idx="3">
                  <c:v>3408</c:v>
                </c:pt>
                <c:pt idx="4">
                  <c:v>3418</c:v>
                </c:pt>
              </c:numCache>
            </c:numRef>
          </c:val>
          <c:extLst>
            <c:ext xmlns:c16="http://schemas.microsoft.com/office/drawing/2014/chart" uri="{C3380CC4-5D6E-409C-BE32-E72D297353CC}">
              <c16:uniqueId val="{00000001-E0F0-4661-A0A0-C6E78CC2070E}"/>
            </c:ext>
          </c:extLst>
        </c:ser>
        <c:dLbls>
          <c:dLblPos val="outEnd"/>
          <c:showLegendKey val="0"/>
          <c:showVal val="1"/>
          <c:showCatName val="0"/>
          <c:showSerName val="0"/>
          <c:showPercent val="0"/>
          <c:showBubbleSize val="0"/>
        </c:dLbls>
        <c:gapWidth val="219"/>
        <c:overlap val="-27"/>
        <c:axId val="199152016"/>
        <c:axId val="9605072"/>
      </c:barChart>
      <c:catAx>
        <c:axId val="1991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072"/>
        <c:crosses val="autoZero"/>
        <c:auto val="1"/>
        <c:lblAlgn val="ctr"/>
        <c:lblOffset val="100"/>
        <c:noMultiLvlLbl val="0"/>
      </c:catAx>
      <c:valAx>
        <c:axId val="9605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factor.xlsx]Analysis!Weekly Pax</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Load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c:f>
              <c:strCache>
                <c:ptCount val="1"/>
                <c:pt idx="0">
                  <c:v>Total weekly pax</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1</c:v>
                </c:pt>
                <c:pt idx="1">
                  <c:v>2</c:v>
                </c:pt>
                <c:pt idx="2">
                  <c:v>3</c:v>
                </c:pt>
                <c:pt idx="3">
                  <c:v>4</c:v>
                </c:pt>
                <c:pt idx="4">
                  <c:v>5</c:v>
                </c:pt>
              </c:strCache>
            </c:strRef>
          </c:cat>
          <c:val>
            <c:numRef>
              <c:f>Analysis!$B$6:$B$11</c:f>
              <c:numCache>
                <c:formatCode>General</c:formatCode>
                <c:ptCount val="5"/>
                <c:pt idx="0">
                  <c:v>2639</c:v>
                </c:pt>
                <c:pt idx="1">
                  <c:v>5696</c:v>
                </c:pt>
                <c:pt idx="2">
                  <c:v>5798</c:v>
                </c:pt>
                <c:pt idx="3">
                  <c:v>5590</c:v>
                </c:pt>
                <c:pt idx="4">
                  <c:v>5619</c:v>
                </c:pt>
              </c:numCache>
            </c:numRef>
          </c:val>
          <c:extLst>
            <c:ext xmlns:c16="http://schemas.microsoft.com/office/drawing/2014/chart" uri="{C3380CC4-5D6E-409C-BE32-E72D297353CC}">
              <c16:uniqueId val="{00000009-C46C-4724-B56F-06B8078E2121}"/>
            </c:ext>
          </c:extLst>
        </c:ser>
        <c:ser>
          <c:idx val="1"/>
          <c:order val="1"/>
          <c:tx>
            <c:strRef>
              <c:f>Analysis!$C$5</c:f>
              <c:strCache>
                <c:ptCount val="1"/>
                <c:pt idx="0">
                  <c:v>Flight Counts</c:v>
                </c:pt>
              </c:strCache>
            </c:strRef>
          </c:tx>
          <c:spPr>
            <a:solidFill>
              <a:schemeClr val="accent2"/>
            </a:solidFill>
            <a:ln>
              <a:noFill/>
            </a:ln>
            <a:effectLst/>
          </c:spPr>
          <c:invertIfNegative val="0"/>
          <c:dLbls>
            <c:spPr>
              <a:solidFill>
                <a:schemeClr val="accent2"/>
              </a:solidFill>
              <a:ln w="25400" cap="flat" cmpd="sng" algn="ctr">
                <a:solidFill>
                  <a:schemeClr val="lt1"/>
                </a:solidFill>
                <a:prstDash val="solid"/>
                <a:miter lim="800000"/>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Analysis!$A$6:$A$11</c:f>
              <c:strCache>
                <c:ptCount val="5"/>
                <c:pt idx="0">
                  <c:v>1</c:v>
                </c:pt>
                <c:pt idx="1">
                  <c:v>2</c:v>
                </c:pt>
                <c:pt idx="2">
                  <c:v>3</c:v>
                </c:pt>
                <c:pt idx="3">
                  <c:v>4</c:v>
                </c:pt>
                <c:pt idx="4">
                  <c:v>5</c:v>
                </c:pt>
              </c:strCache>
            </c:strRef>
          </c:cat>
          <c:val>
            <c:numRef>
              <c:f>Analysis!$C$6:$C$11</c:f>
              <c:numCache>
                <c:formatCode>General</c:formatCode>
                <c:ptCount val="5"/>
                <c:pt idx="0">
                  <c:v>16</c:v>
                </c:pt>
                <c:pt idx="1">
                  <c:v>32</c:v>
                </c:pt>
                <c:pt idx="2">
                  <c:v>34</c:v>
                </c:pt>
                <c:pt idx="3">
                  <c:v>37</c:v>
                </c:pt>
                <c:pt idx="4">
                  <c:v>41</c:v>
                </c:pt>
              </c:numCache>
            </c:numRef>
          </c:val>
          <c:extLst>
            <c:ext xmlns:c16="http://schemas.microsoft.com/office/drawing/2014/chart" uri="{C3380CC4-5D6E-409C-BE32-E72D297353CC}">
              <c16:uniqueId val="{0000000A-C46C-4724-B56F-06B8078E2121}"/>
            </c:ext>
          </c:extLst>
        </c:ser>
        <c:dLbls>
          <c:dLblPos val="outEnd"/>
          <c:showLegendKey val="0"/>
          <c:showVal val="1"/>
          <c:showCatName val="0"/>
          <c:showSerName val="0"/>
          <c:showPercent val="0"/>
          <c:showBubbleSize val="0"/>
        </c:dLbls>
        <c:gapWidth val="219"/>
        <c:overlap val="-27"/>
        <c:axId val="1636662943"/>
        <c:axId val="1386390319"/>
      </c:barChart>
      <c:catAx>
        <c:axId val="16366629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390319"/>
        <c:crosses val="autoZero"/>
        <c:auto val="1"/>
        <c:lblAlgn val="ctr"/>
        <c:lblOffset val="100"/>
        <c:noMultiLvlLbl val="0"/>
      </c:catAx>
      <c:valAx>
        <c:axId val="13863903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629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factor.xlsx]Analysis!PaxByOperator</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Pax by Operators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Analysis!$A$14:$A$24</c:f>
              <c:strCache>
                <c:ptCount val="10"/>
                <c:pt idx="0">
                  <c:v>SOQ/SOQ HELISTAR CAMBODIA</c:v>
                </c:pt>
                <c:pt idx="1">
                  <c:v>GA/GIA GARUDA INDONESIA</c:v>
                </c:pt>
                <c:pt idx="2">
                  <c:v>ZAB/SWMW SKY ANGKOR AIRLINES</c:v>
                </c:pt>
                <c:pt idx="3">
                  <c:v>ID/BTK BATIK AIR</c:v>
                </c:pt>
                <c:pt idx="4">
                  <c:v>GN/AGN CHARTER</c:v>
                </c:pt>
                <c:pt idx="5">
                  <c:v>KR/KME CAMBODIA AIRWAYS</c:v>
                </c:pt>
                <c:pt idx="6">
                  <c:v>DRM/RLH RUILL AIRLINES</c:v>
                </c:pt>
                <c:pt idx="7">
                  <c:v>KTH/KTC AIRASIE CAMBODIA</c:v>
                </c:pt>
                <c:pt idx="8">
                  <c:v>AKX/AXM AIRASIA</c:v>
                </c:pt>
                <c:pt idx="9">
                  <c:v>K2/KHM AIR CAMBODIA</c:v>
                </c:pt>
              </c:strCache>
            </c:strRef>
          </c:cat>
          <c:val>
            <c:numRef>
              <c:f>Analysis!$B$14:$B$24</c:f>
              <c:numCache>
                <c:formatCode>General</c:formatCode>
                <c:ptCount val="10"/>
                <c:pt idx="0">
                  <c:v>1</c:v>
                </c:pt>
                <c:pt idx="1">
                  <c:v>2</c:v>
                </c:pt>
                <c:pt idx="2">
                  <c:v>4</c:v>
                </c:pt>
                <c:pt idx="3">
                  <c:v>92</c:v>
                </c:pt>
                <c:pt idx="4">
                  <c:v>180</c:v>
                </c:pt>
                <c:pt idx="5">
                  <c:v>580</c:v>
                </c:pt>
                <c:pt idx="6">
                  <c:v>3278</c:v>
                </c:pt>
                <c:pt idx="7">
                  <c:v>4006</c:v>
                </c:pt>
                <c:pt idx="8">
                  <c:v>5039</c:v>
                </c:pt>
                <c:pt idx="9">
                  <c:v>12160</c:v>
                </c:pt>
              </c:numCache>
            </c:numRef>
          </c:val>
          <c:extLst>
            <c:ext xmlns:c16="http://schemas.microsoft.com/office/drawing/2014/chart" uri="{C3380CC4-5D6E-409C-BE32-E72D297353CC}">
              <c16:uniqueId val="{00000008-ED0B-4C39-BDF8-1AFFCAA07D39}"/>
            </c:ext>
          </c:extLst>
        </c:ser>
        <c:dLbls>
          <c:dLblPos val="outEnd"/>
          <c:showLegendKey val="0"/>
          <c:showVal val="1"/>
          <c:showCatName val="0"/>
          <c:showSerName val="0"/>
          <c:showPercent val="0"/>
          <c:showBubbleSize val="0"/>
        </c:dLbls>
        <c:gapWidth val="182"/>
        <c:axId val="1636651343"/>
        <c:axId val="9606512"/>
      </c:barChart>
      <c:catAx>
        <c:axId val="163665134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6512"/>
        <c:crosses val="autoZero"/>
        <c:auto val="1"/>
        <c:lblAlgn val="ctr"/>
        <c:lblOffset val="100"/>
        <c:noMultiLvlLbl val="0"/>
      </c:catAx>
      <c:valAx>
        <c:axId val="960651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6651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factor.xlsx]Analysis!TopArrivalRoute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Arrival</a:t>
            </a:r>
            <a:r>
              <a:rPr lang="en-US" baseline="0"/>
              <a:t> Routes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Analysis!$B$27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Analysis!$A$28:$A$38</c:f>
              <c:strCache>
                <c:ptCount val="10"/>
                <c:pt idx="0">
                  <c:v>K6131-SAI</c:v>
                </c:pt>
                <c:pt idx="1">
                  <c:v>AK264-KUL</c:v>
                </c:pt>
                <c:pt idx="2">
                  <c:v>KT174-KUL</c:v>
                </c:pt>
                <c:pt idx="3">
                  <c:v>K6839-SGN</c:v>
                </c:pt>
                <c:pt idx="4">
                  <c:v>DR5029-KMG</c:v>
                </c:pt>
                <c:pt idx="5">
                  <c:v>K6931-SZX</c:v>
                </c:pt>
                <c:pt idx="6">
                  <c:v>K6133-SAI</c:v>
                </c:pt>
                <c:pt idx="7">
                  <c:v>K6135-SAI</c:v>
                </c:pt>
                <c:pt idx="8">
                  <c:v>DR5031-WUX</c:v>
                </c:pt>
                <c:pt idx="9">
                  <c:v>KR962-TFU</c:v>
                </c:pt>
              </c:strCache>
            </c:strRef>
          </c:cat>
          <c:val>
            <c:numRef>
              <c:f>Analysis!$B$28:$B$38</c:f>
              <c:numCache>
                <c:formatCode>General</c:formatCode>
                <c:ptCount val="10"/>
                <c:pt idx="0">
                  <c:v>2435</c:v>
                </c:pt>
                <c:pt idx="1">
                  <c:v>2363</c:v>
                </c:pt>
                <c:pt idx="2">
                  <c:v>1820</c:v>
                </c:pt>
                <c:pt idx="3">
                  <c:v>1429</c:v>
                </c:pt>
                <c:pt idx="4">
                  <c:v>1022</c:v>
                </c:pt>
                <c:pt idx="5">
                  <c:v>977</c:v>
                </c:pt>
                <c:pt idx="6">
                  <c:v>529</c:v>
                </c:pt>
                <c:pt idx="7">
                  <c:v>464</c:v>
                </c:pt>
                <c:pt idx="8">
                  <c:v>336</c:v>
                </c:pt>
                <c:pt idx="9">
                  <c:v>120</c:v>
                </c:pt>
              </c:numCache>
            </c:numRef>
          </c:val>
          <c:extLst>
            <c:ext xmlns:c16="http://schemas.microsoft.com/office/drawing/2014/chart" uri="{C3380CC4-5D6E-409C-BE32-E72D297353CC}">
              <c16:uniqueId val="{00000005-3994-4FCA-82C3-5F3F1303282B}"/>
            </c:ext>
          </c:extLst>
        </c:ser>
        <c:dLbls>
          <c:dLblPos val="outEnd"/>
          <c:showLegendKey val="0"/>
          <c:showVal val="1"/>
          <c:showCatName val="0"/>
          <c:showSerName val="0"/>
          <c:showPercent val="0"/>
          <c:showBubbleSize val="0"/>
        </c:dLbls>
        <c:gapWidth val="219"/>
        <c:overlap val="-27"/>
        <c:axId val="85178416"/>
        <c:axId val="9585872"/>
      </c:barChart>
      <c:catAx>
        <c:axId val="85178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872"/>
        <c:crosses val="autoZero"/>
        <c:auto val="1"/>
        <c:lblAlgn val="ctr"/>
        <c:lblOffset val="100"/>
        <c:noMultiLvlLbl val="0"/>
      </c:catAx>
      <c:valAx>
        <c:axId val="958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78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factor.xlsx]Analysis!TopDeparture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Departure Routes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w="25400" cap="flat" cmpd="sng" algn="ctr">
            <a:solidFill>
              <a:schemeClr val="lt1"/>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Analysis!$B$63</c:f>
              <c:strCache>
                <c:ptCount val="1"/>
                <c:pt idx="0">
                  <c:v>Total</c:v>
                </c:pt>
              </c:strCache>
            </c:strRef>
          </c:tx>
          <c:spPr>
            <a:solidFill>
              <a:schemeClr val="accent4"/>
            </a:solidFill>
            <a:ln w="25400" cap="flat" cmpd="sng" algn="ctr">
              <a:solidFill>
                <a:schemeClr val="lt1"/>
              </a:solidFill>
              <a:prstDash val="solid"/>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Analysis!$A$64:$A$74</c:f>
              <c:strCache>
                <c:ptCount val="10"/>
                <c:pt idx="0">
                  <c:v>AK265-KUL</c:v>
                </c:pt>
                <c:pt idx="1">
                  <c:v>K6838-SGN</c:v>
                </c:pt>
                <c:pt idx="2">
                  <c:v>KT175-KUL</c:v>
                </c:pt>
                <c:pt idx="3">
                  <c:v>K6130-SAI</c:v>
                </c:pt>
                <c:pt idx="4">
                  <c:v>DR5030-KMG</c:v>
                </c:pt>
                <c:pt idx="5">
                  <c:v>K6930-SZX</c:v>
                </c:pt>
                <c:pt idx="6">
                  <c:v>DR5032-WUX</c:v>
                </c:pt>
                <c:pt idx="7">
                  <c:v>KR961-TFU</c:v>
                </c:pt>
                <c:pt idx="8">
                  <c:v>K6132-SAI</c:v>
                </c:pt>
                <c:pt idx="9">
                  <c:v>ID8883-CGK</c:v>
                </c:pt>
              </c:strCache>
            </c:strRef>
          </c:cat>
          <c:val>
            <c:numRef>
              <c:f>Analysis!$B$64:$B$74</c:f>
              <c:numCache>
                <c:formatCode>0</c:formatCode>
                <c:ptCount val="10"/>
                <c:pt idx="0">
                  <c:v>2676</c:v>
                </c:pt>
                <c:pt idx="1">
                  <c:v>2446</c:v>
                </c:pt>
                <c:pt idx="2">
                  <c:v>2186</c:v>
                </c:pt>
                <c:pt idx="3">
                  <c:v>2114</c:v>
                </c:pt>
                <c:pt idx="4">
                  <c:v>1409</c:v>
                </c:pt>
                <c:pt idx="5">
                  <c:v>1325</c:v>
                </c:pt>
                <c:pt idx="6">
                  <c:v>511</c:v>
                </c:pt>
                <c:pt idx="7">
                  <c:v>452</c:v>
                </c:pt>
                <c:pt idx="8">
                  <c:v>441</c:v>
                </c:pt>
                <c:pt idx="9">
                  <c:v>44</c:v>
                </c:pt>
              </c:numCache>
            </c:numRef>
          </c:val>
          <c:extLst>
            <c:ext xmlns:c16="http://schemas.microsoft.com/office/drawing/2014/chart" uri="{C3380CC4-5D6E-409C-BE32-E72D297353CC}">
              <c16:uniqueId val="{00000005-3E96-4893-95EF-FA11D273F716}"/>
            </c:ext>
          </c:extLst>
        </c:ser>
        <c:dLbls>
          <c:dLblPos val="outEnd"/>
          <c:showLegendKey val="0"/>
          <c:showVal val="1"/>
          <c:showCatName val="0"/>
          <c:showSerName val="0"/>
          <c:showPercent val="0"/>
          <c:showBubbleSize val="0"/>
        </c:dLbls>
        <c:gapWidth val="219"/>
        <c:overlap val="-27"/>
        <c:axId val="265942688"/>
        <c:axId val="9585392"/>
      </c:barChart>
      <c:catAx>
        <c:axId val="265942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85392"/>
        <c:crosses val="autoZero"/>
        <c:auto val="1"/>
        <c:lblAlgn val="ctr"/>
        <c:lblOffset val="100"/>
        <c:noMultiLvlLbl val="0"/>
      </c:catAx>
      <c:valAx>
        <c:axId val="95853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5942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[Jan-airport load factor.xlsx]Analysis!PivotTable6</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Weekly Arrival VS Depature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Analysis!$B$99</c:f>
              <c:strCache>
                <c:ptCount val="1"/>
                <c:pt idx="0">
                  <c:v>Total Arrival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Analysis!$A$100:$A$105</c:f>
              <c:strCache>
                <c:ptCount val="5"/>
                <c:pt idx="0">
                  <c:v>1</c:v>
                </c:pt>
                <c:pt idx="1">
                  <c:v>2</c:v>
                </c:pt>
                <c:pt idx="2">
                  <c:v>3</c:v>
                </c:pt>
                <c:pt idx="3">
                  <c:v>4</c:v>
                </c:pt>
                <c:pt idx="4">
                  <c:v>5</c:v>
                </c:pt>
              </c:strCache>
            </c:strRef>
          </c:cat>
          <c:val>
            <c:numRef>
              <c:f>Analysis!$B$100:$B$105</c:f>
              <c:numCache>
                <c:formatCode>0</c:formatCode>
                <c:ptCount val="5"/>
                <c:pt idx="0">
                  <c:v>1424</c:v>
                </c:pt>
                <c:pt idx="1">
                  <c:v>3074</c:v>
                </c:pt>
                <c:pt idx="2">
                  <c:v>2730</c:v>
                </c:pt>
                <c:pt idx="3">
                  <c:v>2182</c:v>
                </c:pt>
                <c:pt idx="4">
                  <c:v>2201</c:v>
                </c:pt>
              </c:numCache>
            </c:numRef>
          </c:val>
          <c:extLst>
            <c:ext xmlns:c16="http://schemas.microsoft.com/office/drawing/2014/chart" uri="{C3380CC4-5D6E-409C-BE32-E72D297353CC}">
              <c16:uniqueId val="{00000000-A4ED-4C15-97BA-4D33EBAC0B05}"/>
            </c:ext>
          </c:extLst>
        </c:ser>
        <c:ser>
          <c:idx val="1"/>
          <c:order val="1"/>
          <c:tx>
            <c:strRef>
              <c:f>Analysis!$C$99</c:f>
              <c:strCache>
                <c:ptCount val="1"/>
                <c:pt idx="0">
                  <c:v>Total in Departure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Analysis!$A$100:$A$105</c:f>
              <c:strCache>
                <c:ptCount val="5"/>
                <c:pt idx="0">
                  <c:v>1</c:v>
                </c:pt>
                <c:pt idx="1">
                  <c:v>2</c:v>
                </c:pt>
                <c:pt idx="2">
                  <c:v>3</c:v>
                </c:pt>
                <c:pt idx="3">
                  <c:v>4</c:v>
                </c:pt>
                <c:pt idx="4">
                  <c:v>5</c:v>
                </c:pt>
              </c:strCache>
            </c:strRef>
          </c:cat>
          <c:val>
            <c:numRef>
              <c:f>Analysis!$C$100:$C$105</c:f>
              <c:numCache>
                <c:formatCode>0</c:formatCode>
                <c:ptCount val="5"/>
                <c:pt idx="0">
                  <c:v>1215</c:v>
                </c:pt>
                <c:pt idx="1">
                  <c:v>2622</c:v>
                </c:pt>
                <c:pt idx="2">
                  <c:v>3068</c:v>
                </c:pt>
                <c:pt idx="3">
                  <c:v>3408</c:v>
                </c:pt>
                <c:pt idx="4">
                  <c:v>3418</c:v>
                </c:pt>
              </c:numCache>
            </c:numRef>
          </c:val>
          <c:extLst>
            <c:ext xmlns:c16="http://schemas.microsoft.com/office/drawing/2014/chart" uri="{C3380CC4-5D6E-409C-BE32-E72D297353CC}">
              <c16:uniqueId val="{00000001-A4ED-4C15-97BA-4D33EBAC0B05}"/>
            </c:ext>
          </c:extLst>
        </c:ser>
        <c:dLbls>
          <c:dLblPos val="outEnd"/>
          <c:showLegendKey val="0"/>
          <c:showVal val="1"/>
          <c:showCatName val="0"/>
          <c:showSerName val="0"/>
          <c:showPercent val="0"/>
          <c:showBubbleSize val="0"/>
        </c:dLbls>
        <c:gapWidth val="219"/>
        <c:overlap val="-27"/>
        <c:axId val="199152016"/>
        <c:axId val="9605072"/>
      </c:barChart>
      <c:catAx>
        <c:axId val="19915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05072"/>
        <c:crosses val="autoZero"/>
        <c:auto val="1"/>
        <c:lblAlgn val="ctr"/>
        <c:lblOffset val="100"/>
        <c:noMultiLvlLbl val="0"/>
      </c:catAx>
      <c:valAx>
        <c:axId val="960507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15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3" Type="http://schemas.openxmlformats.org/officeDocument/2006/relationships/chart" Target="../charts/chart8.xml"/><Relationship Id="rId7" Type="http://schemas.openxmlformats.org/officeDocument/2006/relationships/image" Target="../media/image2.svg"/><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0.xml"/><Relationship Id="rId10" Type="http://schemas.openxmlformats.org/officeDocument/2006/relationships/image" Target="../media/image5.png"/><Relationship Id="rId4" Type="http://schemas.openxmlformats.org/officeDocument/2006/relationships/chart" Target="../charts/chart9.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editAs="oneCell">
    <xdr:from>
      <xdr:col>3</xdr:col>
      <xdr:colOff>1152525</xdr:colOff>
      <xdr:row>0</xdr:row>
      <xdr:rowOff>166687</xdr:rowOff>
    </xdr:from>
    <xdr:to>
      <xdr:col>11</xdr:col>
      <xdr:colOff>304800</xdr:colOff>
      <xdr:row>15</xdr:row>
      <xdr:rowOff>52387</xdr:rowOff>
    </xdr:to>
    <xdr:graphicFrame macro="">
      <xdr:nvGraphicFramePr>
        <xdr:cNvPr id="2" name="Weekly Pax">
          <a:extLst>
            <a:ext uri="{FF2B5EF4-FFF2-40B4-BE49-F238E27FC236}">
              <a16:creationId xmlns:a16="http://schemas.microsoft.com/office/drawing/2014/main" id="{3F2B2AE7-F4BD-2DDF-56D6-04FE6271E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1152525</xdr:colOff>
      <xdr:row>15</xdr:row>
      <xdr:rowOff>80962</xdr:rowOff>
    </xdr:from>
    <xdr:to>
      <xdr:col>11</xdr:col>
      <xdr:colOff>247650</xdr:colOff>
      <xdr:row>29</xdr:row>
      <xdr:rowOff>157162</xdr:rowOff>
    </xdr:to>
    <xdr:graphicFrame macro="">
      <xdr:nvGraphicFramePr>
        <xdr:cNvPr id="3" name="Chart 2">
          <a:extLst>
            <a:ext uri="{FF2B5EF4-FFF2-40B4-BE49-F238E27FC236}">
              <a16:creationId xmlns:a16="http://schemas.microsoft.com/office/drawing/2014/main" id="{738903BE-A4C2-0433-3F5C-0C5886EDEB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1171573</xdr:colOff>
      <xdr:row>30</xdr:row>
      <xdr:rowOff>14287</xdr:rowOff>
    </xdr:from>
    <xdr:to>
      <xdr:col>16</xdr:col>
      <xdr:colOff>552449</xdr:colOff>
      <xdr:row>44</xdr:row>
      <xdr:rowOff>90487</xdr:rowOff>
    </xdr:to>
    <xdr:graphicFrame macro="">
      <xdr:nvGraphicFramePr>
        <xdr:cNvPr id="4" name="Chart 3">
          <a:extLst>
            <a:ext uri="{FF2B5EF4-FFF2-40B4-BE49-F238E27FC236}">
              <a16:creationId xmlns:a16="http://schemas.microsoft.com/office/drawing/2014/main" id="{4D4E5642-6069-F93B-D5C1-FC8533B04C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1162050</xdr:colOff>
      <xdr:row>44</xdr:row>
      <xdr:rowOff>90487</xdr:rowOff>
    </xdr:from>
    <xdr:to>
      <xdr:col>16</xdr:col>
      <xdr:colOff>561975</xdr:colOff>
      <xdr:row>58</xdr:row>
      <xdr:rowOff>166687</xdr:rowOff>
    </xdr:to>
    <xdr:graphicFrame macro="">
      <xdr:nvGraphicFramePr>
        <xdr:cNvPr id="5" name="Chart 4">
          <a:extLst>
            <a:ext uri="{FF2B5EF4-FFF2-40B4-BE49-F238E27FC236}">
              <a16:creationId xmlns:a16="http://schemas.microsoft.com/office/drawing/2014/main" id="{8FE7BB09-6EF3-2D08-0916-A24BE1364F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276225</xdr:colOff>
      <xdr:row>91</xdr:row>
      <xdr:rowOff>80962</xdr:rowOff>
    </xdr:from>
    <xdr:to>
      <xdr:col>9</xdr:col>
      <xdr:colOff>590550</xdr:colOff>
      <xdr:row>105</xdr:row>
      <xdr:rowOff>157162</xdr:rowOff>
    </xdr:to>
    <xdr:graphicFrame macro="">
      <xdr:nvGraphicFramePr>
        <xdr:cNvPr id="6" name="Chart 5">
          <a:extLst>
            <a:ext uri="{FF2B5EF4-FFF2-40B4-BE49-F238E27FC236}">
              <a16:creationId xmlns:a16="http://schemas.microsoft.com/office/drawing/2014/main" id="{696A6E83-336D-16CB-A8E6-B54976F560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485775</xdr:colOff>
      <xdr:row>24</xdr:row>
      <xdr:rowOff>28576</xdr:rowOff>
    </xdr:from>
    <xdr:to>
      <xdr:col>19</xdr:col>
      <xdr:colOff>352425</xdr:colOff>
      <xdr:row>32</xdr:row>
      <xdr:rowOff>161926</xdr:rowOff>
    </xdr:to>
    <mc:AlternateContent xmlns:mc="http://schemas.openxmlformats.org/markup-compatibility/2006">
      <mc:Choice xmlns:a14="http://schemas.microsoft.com/office/drawing/2010/main" Requires="a14">
        <xdr:graphicFrame macro="">
          <xdr:nvGraphicFramePr>
            <xdr:cNvPr id="7" name="WeekNum">
              <a:extLst>
                <a:ext uri="{FF2B5EF4-FFF2-40B4-BE49-F238E27FC236}">
                  <a16:creationId xmlns:a16="http://schemas.microsoft.com/office/drawing/2014/main" id="{476C516F-A7BC-80EC-3DE2-586A7FCA4430}"/>
                </a:ext>
              </a:extLst>
            </xdr:cNvPr>
            <xdr:cNvGraphicFramePr/>
          </xdr:nvGraphicFramePr>
          <xdr:xfrm>
            <a:off x="0" y="0"/>
            <a:ext cx="0" cy="0"/>
          </xdr:xfrm>
          <a:graphic>
            <a:graphicData uri="http://schemas.microsoft.com/office/drawing/2010/slicer">
              <sle:slicer xmlns:sle="http://schemas.microsoft.com/office/drawing/2010/slicer" name="WeekNum"/>
            </a:graphicData>
          </a:graphic>
        </xdr:graphicFrame>
      </mc:Choice>
      <mc:Fallback>
        <xdr:sp macro="" textlink="">
          <xdr:nvSpPr>
            <xdr:cNvPr id="0" name=""/>
            <xdr:cNvSpPr>
              <a:spLocks noTextEdit="1"/>
            </xdr:cNvSpPr>
          </xdr:nvSpPr>
          <xdr:spPr>
            <a:xfrm>
              <a:off x="12687300" y="4600576"/>
              <a:ext cx="1085850" cy="1657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142875</xdr:colOff>
      <xdr:row>16</xdr:row>
      <xdr:rowOff>0</xdr:rowOff>
    </xdr:from>
    <xdr:to>
      <xdr:col>9</xdr:col>
      <xdr:colOff>447675</xdr:colOff>
      <xdr:row>30</xdr:row>
      <xdr:rowOff>76200</xdr:rowOff>
    </xdr:to>
    <xdr:graphicFrame macro="">
      <xdr:nvGraphicFramePr>
        <xdr:cNvPr id="2" name="Weekly Pax">
          <a:extLst>
            <a:ext uri="{FF2B5EF4-FFF2-40B4-BE49-F238E27FC236}">
              <a16:creationId xmlns:a16="http://schemas.microsoft.com/office/drawing/2014/main" id="{C7786174-2B60-4773-B196-E1600A7904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476250</xdr:colOff>
      <xdr:row>15</xdr:row>
      <xdr:rowOff>161925</xdr:rowOff>
    </xdr:from>
    <xdr:to>
      <xdr:col>17</xdr:col>
      <xdr:colOff>114300</xdr:colOff>
      <xdr:row>30</xdr:row>
      <xdr:rowOff>47625</xdr:rowOff>
    </xdr:to>
    <xdr:graphicFrame macro="">
      <xdr:nvGraphicFramePr>
        <xdr:cNvPr id="3" name="Chart 2">
          <a:extLst>
            <a:ext uri="{FF2B5EF4-FFF2-40B4-BE49-F238E27FC236}">
              <a16:creationId xmlns:a16="http://schemas.microsoft.com/office/drawing/2014/main" id="{915BC189-A8ED-4284-8FB1-FE43D1357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104773</xdr:colOff>
      <xdr:row>30</xdr:row>
      <xdr:rowOff>85725</xdr:rowOff>
    </xdr:from>
    <xdr:to>
      <xdr:col>12</xdr:col>
      <xdr:colOff>161925</xdr:colOff>
      <xdr:row>44</xdr:row>
      <xdr:rowOff>161925</xdr:rowOff>
    </xdr:to>
    <xdr:graphicFrame macro="">
      <xdr:nvGraphicFramePr>
        <xdr:cNvPr id="4" name="Chart 3">
          <a:extLst>
            <a:ext uri="{FF2B5EF4-FFF2-40B4-BE49-F238E27FC236}">
              <a16:creationId xmlns:a16="http://schemas.microsoft.com/office/drawing/2014/main" id="{035F59FA-EC9E-47C5-9416-3CDEE7155D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190500</xdr:colOff>
      <xdr:row>30</xdr:row>
      <xdr:rowOff>57150</xdr:rowOff>
    </xdr:from>
    <xdr:to>
      <xdr:col>27</xdr:col>
      <xdr:colOff>161925</xdr:colOff>
      <xdr:row>44</xdr:row>
      <xdr:rowOff>133350</xdr:rowOff>
    </xdr:to>
    <xdr:graphicFrame macro="">
      <xdr:nvGraphicFramePr>
        <xdr:cNvPr id="5" name="Chart 4">
          <a:extLst>
            <a:ext uri="{FF2B5EF4-FFF2-40B4-BE49-F238E27FC236}">
              <a16:creationId xmlns:a16="http://schemas.microsoft.com/office/drawing/2014/main" id="{791C5D14-DCA6-488E-936A-67DA8BD1D0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103716</xdr:colOff>
      <xdr:row>16</xdr:row>
      <xdr:rowOff>12700</xdr:rowOff>
    </xdr:from>
    <xdr:to>
      <xdr:col>2</xdr:col>
      <xdr:colOff>119061</xdr:colOff>
      <xdr:row>25</xdr:row>
      <xdr:rowOff>169864</xdr:rowOff>
    </xdr:to>
    <mc:AlternateContent xmlns:mc="http://schemas.openxmlformats.org/markup-compatibility/2006">
      <mc:Choice xmlns:a14="http://schemas.microsoft.com/office/drawing/2010/main" Requires="a14">
        <xdr:graphicFrame macro="">
          <xdr:nvGraphicFramePr>
            <xdr:cNvPr id="7" name="WeekNum 1">
              <a:extLst>
                <a:ext uri="{FF2B5EF4-FFF2-40B4-BE49-F238E27FC236}">
                  <a16:creationId xmlns:a16="http://schemas.microsoft.com/office/drawing/2014/main" id="{902A6BDE-C5A5-4F48-AF80-935D111E6F6B}"/>
                </a:ext>
              </a:extLst>
            </xdr:cNvPr>
            <xdr:cNvGraphicFramePr/>
          </xdr:nvGraphicFramePr>
          <xdr:xfrm>
            <a:off x="0" y="0"/>
            <a:ext cx="0" cy="0"/>
          </xdr:xfrm>
          <a:graphic>
            <a:graphicData uri="http://schemas.microsoft.com/office/drawing/2010/slicer">
              <sle:slicer xmlns:sle="http://schemas.microsoft.com/office/drawing/2010/slicer" name="WeekNum 1"/>
            </a:graphicData>
          </a:graphic>
        </xdr:graphicFrame>
      </mc:Choice>
      <mc:Fallback>
        <xdr:sp macro="" textlink="">
          <xdr:nvSpPr>
            <xdr:cNvPr id="0" name=""/>
            <xdr:cNvSpPr>
              <a:spLocks noTextEdit="1"/>
            </xdr:cNvSpPr>
          </xdr:nvSpPr>
          <xdr:spPr>
            <a:xfrm>
              <a:off x="103716" y="3060700"/>
              <a:ext cx="1229783" cy="1871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133350</xdr:colOff>
      <xdr:row>15</xdr:row>
      <xdr:rowOff>161925</xdr:rowOff>
    </xdr:from>
    <xdr:to>
      <xdr:col>24</xdr:col>
      <xdr:colOff>361950</xdr:colOff>
      <xdr:row>30</xdr:row>
      <xdr:rowOff>47625</xdr:rowOff>
    </xdr:to>
    <xdr:graphicFrame macro="">
      <xdr:nvGraphicFramePr>
        <xdr:cNvPr id="9" name="Chart 8">
          <a:extLst>
            <a:ext uri="{FF2B5EF4-FFF2-40B4-BE49-F238E27FC236}">
              <a16:creationId xmlns:a16="http://schemas.microsoft.com/office/drawing/2014/main" id="{8958FFFA-C5F4-4B96-B64D-5AAFABB1B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116415</xdr:colOff>
      <xdr:row>7</xdr:row>
      <xdr:rowOff>48682</xdr:rowOff>
    </xdr:from>
    <xdr:to>
      <xdr:col>25</xdr:col>
      <xdr:colOff>482601</xdr:colOff>
      <xdr:row>15</xdr:row>
      <xdr:rowOff>80432</xdr:rowOff>
    </xdr:to>
    <xdr:grpSp>
      <xdr:nvGrpSpPr>
        <xdr:cNvPr id="38" name="Group 37">
          <a:extLst>
            <a:ext uri="{FF2B5EF4-FFF2-40B4-BE49-F238E27FC236}">
              <a16:creationId xmlns:a16="http://schemas.microsoft.com/office/drawing/2014/main" id="{090B208F-588F-DAC1-3C8D-4C6BB1BBCDCB}"/>
            </a:ext>
          </a:extLst>
        </xdr:cNvPr>
        <xdr:cNvGrpSpPr/>
      </xdr:nvGrpSpPr>
      <xdr:grpSpPr>
        <a:xfrm>
          <a:off x="1330853" y="1382182"/>
          <a:ext cx="14332217" cy="1555750"/>
          <a:chOff x="1330853" y="810682"/>
          <a:chExt cx="14332217" cy="1555750"/>
        </a:xfrm>
      </xdr:grpSpPr>
      <xdr:sp macro="" textlink="">
        <xdr:nvSpPr>
          <xdr:cNvPr id="12" name="Rectangle: Rounded Corners 11">
            <a:extLst>
              <a:ext uri="{FF2B5EF4-FFF2-40B4-BE49-F238E27FC236}">
                <a16:creationId xmlns:a16="http://schemas.microsoft.com/office/drawing/2014/main" id="{69E3CB07-6681-7ACA-D88B-BE97F91B4EFF}"/>
              </a:ext>
            </a:extLst>
          </xdr:cNvPr>
          <xdr:cNvSpPr/>
        </xdr:nvSpPr>
        <xdr:spPr>
          <a:xfrm>
            <a:off x="1435736" y="810682"/>
            <a:ext cx="2810827"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A$2">
        <xdr:nvSpPr>
          <xdr:cNvPr id="13" name="TextBox 12">
            <a:extLst>
              <a:ext uri="{FF2B5EF4-FFF2-40B4-BE49-F238E27FC236}">
                <a16:creationId xmlns:a16="http://schemas.microsoft.com/office/drawing/2014/main" id="{D3C64498-50B9-50EE-4D6E-0FCB5EF83C42}"/>
              </a:ext>
            </a:extLst>
          </xdr:cNvPr>
          <xdr:cNvSpPr txBox="1"/>
        </xdr:nvSpPr>
        <xdr:spPr>
          <a:xfrm>
            <a:off x="2306252" y="1424516"/>
            <a:ext cx="1552248"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938E108-717D-47BE-BA01-7A7EBC0A460E}" type="TxLink">
              <a:rPr lang="en-US" sz="4000" b="0" i="0" u="none" strike="noStrike">
                <a:solidFill>
                  <a:schemeClr val="bg1"/>
                </a:solidFill>
                <a:latin typeface="Calibri"/>
                <a:ea typeface="Calibri"/>
                <a:cs typeface="Calibri"/>
              </a:rPr>
              <a:t>25342</a:t>
            </a:fld>
            <a:endParaRPr lang="en-US" sz="4000">
              <a:solidFill>
                <a:schemeClr val="bg1"/>
              </a:solidFill>
            </a:endParaRPr>
          </a:p>
        </xdr:txBody>
      </xdr:sp>
      <xdr:sp macro="" textlink="">
        <xdr:nvSpPr>
          <xdr:cNvPr id="14" name="TextBox 13">
            <a:extLst>
              <a:ext uri="{FF2B5EF4-FFF2-40B4-BE49-F238E27FC236}">
                <a16:creationId xmlns:a16="http://schemas.microsoft.com/office/drawing/2014/main" id="{73E45788-1539-6E43-A86D-861C3143F108}"/>
              </a:ext>
            </a:extLst>
          </xdr:cNvPr>
          <xdr:cNvSpPr txBox="1"/>
        </xdr:nvSpPr>
        <xdr:spPr>
          <a:xfrm>
            <a:off x="2274788" y="1075265"/>
            <a:ext cx="1919333"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Passengers</a:t>
            </a:r>
          </a:p>
        </xdr:txBody>
      </xdr:sp>
      <xdr:pic>
        <xdr:nvPicPr>
          <xdr:cNvPr id="16" name="Graphic 15" descr="Airplane with solid fill">
            <a:extLst>
              <a:ext uri="{FF2B5EF4-FFF2-40B4-BE49-F238E27FC236}">
                <a16:creationId xmlns:a16="http://schemas.microsoft.com/office/drawing/2014/main" id="{087D3499-CD92-11D8-6BE9-58989267A2B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30853" y="969432"/>
            <a:ext cx="1153698" cy="1164167"/>
          </a:xfrm>
          <a:prstGeom prst="rect">
            <a:avLst/>
          </a:prstGeom>
        </xdr:spPr>
      </xdr:pic>
      <xdr:sp macro="" textlink="">
        <xdr:nvSpPr>
          <xdr:cNvPr id="19" name="Rectangle: Rounded Corners 18">
            <a:extLst>
              <a:ext uri="{FF2B5EF4-FFF2-40B4-BE49-F238E27FC236}">
                <a16:creationId xmlns:a16="http://schemas.microsoft.com/office/drawing/2014/main" id="{BE6C0117-5082-9B8B-11B9-1B22A1D4BF6A}"/>
              </a:ext>
            </a:extLst>
          </xdr:cNvPr>
          <xdr:cNvSpPr/>
        </xdr:nvSpPr>
        <xdr:spPr>
          <a:xfrm>
            <a:off x="4302524" y="810682"/>
            <a:ext cx="2804449"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C$2">
        <xdr:nvSpPr>
          <xdr:cNvPr id="20" name="TextBox 19">
            <a:extLst>
              <a:ext uri="{FF2B5EF4-FFF2-40B4-BE49-F238E27FC236}">
                <a16:creationId xmlns:a16="http://schemas.microsoft.com/office/drawing/2014/main" id="{759E0F29-638F-3E91-7E20-61684DF53D44}"/>
              </a:ext>
            </a:extLst>
          </xdr:cNvPr>
          <xdr:cNvSpPr txBox="1"/>
        </xdr:nvSpPr>
        <xdr:spPr>
          <a:xfrm>
            <a:off x="5171065" y="1424516"/>
            <a:ext cx="1548726"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EDCDD59-7ABD-44F2-8AB3-CF416BBE0A41}" type="TxLink">
              <a:rPr lang="en-US" sz="4000" b="0" i="0" u="none" strike="noStrike">
                <a:solidFill>
                  <a:schemeClr val="bg1"/>
                </a:solidFill>
                <a:latin typeface="Calibri"/>
                <a:ea typeface="Calibri"/>
                <a:cs typeface="Calibri"/>
              </a:rPr>
              <a:pPr marL="0" indent="0"/>
              <a:t>13731</a:t>
            </a:fld>
            <a:endParaRPr lang="en-US" sz="4000" b="0" i="0" u="none" strike="noStrike">
              <a:solidFill>
                <a:schemeClr val="bg1"/>
              </a:solidFill>
              <a:latin typeface="Calibri"/>
              <a:ea typeface="Calibri"/>
              <a:cs typeface="Calibri"/>
            </a:endParaRPr>
          </a:p>
        </xdr:txBody>
      </xdr:sp>
      <xdr:sp macro="" textlink="">
        <xdr:nvSpPr>
          <xdr:cNvPr id="21" name="TextBox 20">
            <a:extLst>
              <a:ext uri="{FF2B5EF4-FFF2-40B4-BE49-F238E27FC236}">
                <a16:creationId xmlns:a16="http://schemas.microsoft.com/office/drawing/2014/main" id="{3E962056-25F4-354C-6971-12B1D261DEC0}"/>
              </a:ext>
            </a:extLst>
          </xdr:cNvPr>
          <xdr:cNvSpPr txBox="1"/>
        </xdr:nvSpPr>
        <xdr:spPr>
          <a:xfrm>
            <a:off x="5139673" y="1075265"/>
            <a:ext cx="1914978"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 Departure</a:t>
            </a:r>
          </a:p>
        </xdr:txBody>
      </xdr:sp>
      <xdr:pic>
        <xdr:nvPicPr>
          <xdr:cNvPr id="22" name="Graphic 21" descr="Take Off with solid fill">
            <a:extLst>
              <a:ext uri="{FF2B5EF4-FFF2-40B4-BE49-F238E27FC236}">
                <a16:creationId xmlns:a16="http://schemas.microsoft.com/office/drawing/2014/main" id="{E39EA4D6-E473-BC90-C0AF-F86DB85AFE7B}"/>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4197879" y="975975"/>
            <a:ext cx="1151080" cy="1151080"/>
          </a:xfrm>
          <a:prstGeom prst="rect">
            <a:avLst/>
          </a:prstGeom>
        </xdr:spPr>
      </xdr:pic>
      <xdr:grpSp>
        <xdr:nvGrpSpPr>
          <xdr:cNvPr id="23" name="Group 22">
            <a:extLst>
              <a:ext uri="{FF2B5EF4-FFF2-40B4-BE49-F238E27FC236}">
                <a16:creationId xmlns:a16="http://schemas.microsoft.com/office/drawing/2014/main" id="{56E0710C-4AA1-2455-4C5C-B5F6C26713F4}"/>
              </a:ext>
            </a:extLst>
          </xdr:cNvPr>
          <xdr:cNvGrpSpPr/>
        </xdr:nvGrpSpPr>
        <xdr:grpSpPr>
          <a:xfrm>
            <a:off x="7047705" y="810682"/>
            <a:ext cx="2909096" cy="1555750"/>
            <a:chOff x="1344082" y="889000"/>
            <a:chExt cx="2942168" cy="1555750"/>
          </a:xfrm>
        </xdr:grpSpPr>
        <xdr:sp macro="" textlink="">
          <xdr:nvSpPr>
            <xdr:cNvPr id="24" name="Rectangle: Rounded Corners 23">
              <a:extLst>
                <a:ext uri="{FF2B5EF4-FFF2-40B4-BE49-F238E27FC236}">
                  <a16:creationId xmlns:a16="http://schemas.microsoft.com/office/drawing/2014/main" id="{FBB24A08-EFA7-A5BD-970F-49127B0E4044}"/>
                </a:ext>
              </a:extLst>
            </xdr:cNvPr>
            <xdr:cNvSpPr/>
          </xdr:nvSpPr>
          <xdr:spPr>
            <a:xfrm>
              <a:off x="1449917" y="889000"/>
              <a:ext cx="2836333"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B$2">
          <xdr:nvSpPr>
            <xdr:cNvPr id="25" name="TextBox 24">
              <a:extLst>
                <a:ext uri="{FF2B5EF4-FFF2-40B4-BE49-F238E27FC236}">
                  <a16:creationId xmlns:a16="http://schemas.microsoft.com/office/drawing/2014/main" id="{FF9F5FE1-FB38-3EA9-F0C3-D32B78F8D5A1}"/>
                </a:ext>
              </a:extLst>
            </xdr:cNvPr>
            <xdr:cNvSpPr txBox="1"/>
          </xdr:nvSpPr>
          <xdr:spPr>
            <a:xfrm>
              <a:off x="2328332" y="1502834"/>
              <a:ext cx="1566334"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EB0BED-C02E-48FE-B61E-564BF594C5F9}" type="TxLink">
                <a:rPr lang="en-US" sz="4000" b="0" i="0" u="none" strike="noStrike">
                  <a:solidFill>
                    <a:schemeClr val="bg1"/>
                  </a:solidFill>
                  <a:latin typeface="Calibri"/>
                  <a:ea typeface="Calibri"/>
                  <a:cs typeface="Calibri"/>
                </a:rPr>
                <a:t>11611</a:t>
              </a:fld>
              <a:endParaRPr lang="en-US" sz="11500">
                <a:solidFill>
                  <a:schemeClr val="bg1"/>
                </a:solidFill>
              </a:endParaRPr>
            </a:p>
          </xdr:txBody>
        </xdr:sp>
        <xdr:sp macro="" textlink="">
          <xdr:nvSpPr>
            <xdr:cNvPr id="26" name="TextBox 25">
              <a:extLst>
                <a:ext uri="{FF2B5EF4-FFF2-40B4-BE49-F238E27FC236}">
                  <a16:creationId xmlns:a16="http://schemas.microsoft.com/office/drawing/2014/main" id="{C84D6B1C-9B03-448A-C1C5-41226A9EF0DF}"/>
                </a:ext>
              </a:extLst>
            </xdr:cNvPr>
            <xdr:cNvSpPr txBox="1"/>
          </xdr:nvSpPr>
          <xdr:spPr>
            <a:xfrm>
              <a:off x="2296583" y="1153583"/>
              <a:ext cx="19367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Total</a:t>
              </a:r>
              <a:r>
                <a:rPr lang="en-US" sz="2000" baseline="0">
                  <a:solidFill>
                    <a:schemeClr val="bg1"/>
                  </a:solidFill>
                </a:rPr>
                <a:t> Arrival </a:t>
              </a:r>
              <a:endParaRPr lang="en-US" sz="2000">
                <a:solidFill>
                  <a:schemeClr val="bg1"/>
                </a:solidFill>
              </a:endParaRPr>
            </a:p>
          </xdr:txBody>
        </xdr:sp>
        <xdr:pic>
          <xdr:nvPicPr>
            <xdr:cNvPr id="27" name="Graphic 26" descr="Landing with solid fill">
              <a:extLst>
                <a:ext uri="{FF2B5EF4-FFF2-40B4-BE49-F238E27FC236}">
                  <a16:creationId xmlns:a16="http://schemas.microsoft.com/office/drawing/2014/main" id="{1D1377A2-34C1-359A-6DCB-48510B16532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1344082" y="1054293"/>
              <a:ext cx="1164167" cy="1151081"/>
            </a:xfrm>
            <a:prstGeom prst="rect">
              <a:avLst/>
            </a:prstGeom>
          </xdr:spPr>
        </xdr:pic>
      </xdr:grpSp>
      <xdr:grpSp>
        <xdr:nvGrpSpPr>
          <xdr:cNvPr id="28" name="Group 27">
            <a:extLst>
              <a:ext uri="{FF2B5EF4-FFF2-40B4-BE49-F238E27FC236}">
                <a16:creationId xmlns:a16="http://schemas.microsoft.com/office/drawing/2014/main" id="{0E38EEEF-5159-EFFA-1B49-A2C2D9E590A5}"/>
              </a:ext>
            </a:extLst>
          </xdr:cNvPr>
          <xdr:cNvGrpSpPr/>
        </xdr:nvGrpSpPr>
        <xdr:grpSpPr>
          <a:xfrm>
            <a:off x="9897533" y="810682"/>
            <a:ext cx="2909095" cy="1555750"/>
            <a:chOff x="1344082" y="889000"/>
            <a:chExt cx="2942168" cy="1555750"/>
          </a:xfrm>
        </xdr:grpSpPr>
        <xdr:sp macro="" textlink="">
          <xdr:nvSpPr>
            <xdr:cNvPr id="29" name="Rectangle: Rounded Corners 28">
              <a:extLst>
                <a:ext uri="{FF2B5EF4-FFF2-40B4-BE49-F238E27FC236}">
                  <a16:creationId xmlns:a16="http://schemas.microsoft.com/office/drawing/2014/main" id="{DC7D3117-E0F3-265E-151C-CF6761768FAC}"/>
                </a:ext>
              </a:extLst>
            </xdr:cNvPr>
            <xdr:cNvSpPr/>
          </xdr:nvSpPr>
          <xdr:spPr>
            <a:xfrm>
              <a:off x="1449917" y="889000"/>
              <a:ext cx="2836333"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A$2">
          <xdr:nvSpPr>
            <xdr:cNvPr id="30" name="TextBox 29">
              <a:extLst>
                <a:ext uri="{FF2B5EF4-FFF2-40B4-BE49-F238E27FC236}">
                  <a16:creationId xmlns:a16="http://schemas.microsoft.com/office/drawing/2014/main" id="{1743127E-A8A2-D504-E63E-380D28525235}"/>
                </a:ext>
              </a:extLst>
            </xdr:cNvPr>
            <xdr:cNvSpPr txBox="1"/>
          </xdr:nvSpPr>
          <xdr:spPr>
            <a:xfrm>
              <a:off x="2328332" y="1502834"/>
              <a:ext cx="1566334"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322</a:t>
              </a:r>
            </a:p>
          </xdr:txBody>
        </xdr:sp>
        <xdr:sp macro="" textlink="">
          <xdr:nvSpPr>
            <xdr:cNvPr id="31" name="TextBox 30">
              <a:extLst>
                <a:ext uri="{FF2B5EF4-FFF2-40B4-BE49-F238E27FC236}">
                  <a16:creationId xmlns:a16="http://schemas.microsoft.com/office/drawing/2014/main" id="{7461733F-255C-6FE4-3C93-930F83BC3046}"/>
                </a:ext>
              </a:extLst>
            </xdr:cNvPr>
            <xdr:cNvSpPr txBox="1"/>
          </xdr:nvSpPr>
          <xdr:spPr>
            <a:xfrm>
              <a:off x="2296583" y="1153583"/>
              <a:ext cx="19367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Flight</a:t>
              </a:r>
              <a:r>
                <a:rPr lang="en-US" sz="2000" baseline="0">
                  <a:solidFill>
                    <a:schemeClr val="bg1"/>
                  </a:solidFill>
                </a:rPr>
                <a:t> Operation </a:t>
              </a:r>
              <a:endParaRPr lang="en-US" sz="2000">
                <a:solidFill>
                  <a:schemeClr val="bg1"/>
                </a:solidFill>
              </a:endParaRPr>
            </a:p>
          </xdr:txBody>
        </xdr:sp>
        <xdr:pic>
          <xdr:nvPicPr>
            <xdr:cNvPr id="32" name="Graphic 31" descr="Airplane with solid fill">
              <a:extLst>
                <a:ext uri="{FF2B5EF4-FFF2-40B4-BE49-F238E27FC236}">
                  <a16:creationId xmlns:a16="http://schemas.microsoft.com/office/drawing/2014/main" id="{6C423A49-05C3-CDF4-B4EC-2E84BDFB854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4082" y="1047750"/>
              <a:ext cx="1164167" cy="1164167"/>
            </a:xfrm>
            <a:prstGeom prst="rect">
              <a:avLst/>
            </a:prstGeom>
          </xdr:spPr>
        </xdr:pic>
      </xdr:grpSp>
      <xdr:grpSp>
        <xdr:nvGrpSpPr>
          <xdr:cNvPr id="33" name="Group 32">
            <a:extLst>
              <a:ext uri="{FF2B5EF4-FFF2-40B4-BE49-F238E27FC236}">
                <a16:creationId xmlns:a16="http://schemas.microsoft.com/office/drawing/2014/main" id="{C0E287E0-D980-9147-2917-9FA97FDBF91C}"/>
              </a:ext>
            </a:extLst>
          </xdr:cNvPr>
          <xdr:cNvGrpSpPr/>
        </xdr:nvGrpSpPr>
        <xdr:grpSpPr>
          <a:xfrm>
            <a:off x="12753974" y="810682"/>
            <a:ext cx="2909096" cy="1555750"/>
            <a:chOff x="1344082" y="889000"/>
            <a:chExt cx="2942168" cy="1555750"/>
          </a:xfrm>
        </xdr:grpSpPr>
        <xdr:sp macro="" textlink="">
          <xdr:nvSpPr>
            <xdr:cNvPr id="34" name="Rectangle: Rounded Corners 33">
              <a:extLst>
                <a:ext uri="{FF2B5EF4-FFF2-40B4-BE49-F238E27FC236}">
                  <a16:creationId xmlns:a16="http://schemas.microsoft.com/office/drawing/2014/main" id="{D0C2876B-74AD-3E42-BFF1-1D450E67FF67}"/>
                </a:ext>
              </a:extLst>
            </xdr:cNvPr>
            <xdr:cNvSpPr/>
          </xdr:nvSpPr>
          <xdr:spPr>
            <a:xfrm>
              <a:off x="1449917" y="889000"/>
              <a:ext cx="2836333" cy="15557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nalysis!$A$2">
          <xdr:nvSpPr>
            <xdr:cNvPr id="35" name="TextBox 34">
              <a:extLst>
                <a:ext uri="{FF2B5EF4-FFF2-40B4-BE49-F238E27FC236}">
                  <a16:creationId xmlns:a16="http://schemas.microsoft.com/office/drawing/2014/main" id="{25F157F2-8202-0E8F-7F4A-F5236B15B218}"/>
                </a:ext>
              </a:extLst>
            </xdr:cNvPr>
            <xdr:cNvSpPr txBox="1"/>
          </xdr:nvSpPr>
          <xdr:spPr>
            <a:xfrm>
              <a:off x="2328332" y="1502834"/>
              <a:ext cx="1566334" cy="730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4000">
                  <a:solidFill>
                    <a:schemeClr val="bg1"/>
                  </a:solidFill>
                </a:rPr>
                <a:t>14</a:t>
              </a:r>
            </a:p>
          </xdr:txBody>
        </xdr:sp>
        <xdr:sp macro="" textlink="">
          <xdr:nvSpPr>
            <xdr:cNvPr id="36" name="TextBox 35">
              <a:extLst>
                <a:ext uri="{FF2B5EF4-FFF2-40B4-BE49-F238E27FC236}">
                  <a16:creationId xmlns:a16="http://schemas.microsoft.com/office/drawing/2014/main" id="{8A3EB98E-8D5D-F9FE-FF93-CE405C84F770}"/>
                </a:ext>
              </a:extLst>
            </xdr:cNvPr>
            <xdr:cNvSpPr txBox="1"/>
          </xdr:nvSpPr>
          <xdr:spPr>
            <a:xfrm>
              <a:off x="2296583" y="1153583"/>
              <a:ext cx="1936750" cy="444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bg1"/>
                  </a:solidFill>
                </a:rPr>
                <a:t>Cancellation </a:t>
              </a:r>
            </a:p>
          </xdr:txBody>
        </xdr:sp>
        <xdr:pic>
          <xdr:nvPicPr>
            <xdr:cNvPr id="37" name="Graphic 36" descr="Airplane with solid fill">
              <a:extLst>
                <a:ext uri="{FF2B5EF4-FFF2-40B4-BE49-F238E27FC236}">
                  <a16:creationId xmlns:a16="http://schemas.microsoft.com/office/drawing/2014/main" id="{132DF6A9-3C3D-8039-148E-BCA566E79E8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44082" y="1047750"/>
              <a:ext cx="1164167" cy="1164167"/>
            </a:xfrm>
            <a:prstGeom prst="rect">
              <a:avLst/>
            </a:prstGeom>
          </xdr:spPr>
        </xdr:pic>
      </xdr:grpSp>
    </xdr:grpSp>
    <xdr:clientData/>
  </xdr:twoCellAnchor>
  <xdr:oneCellAnchor>
    <xdr:from>
      <xdr:col>2</xdr:col>
      <xdr:colOff>119062</xdr:colOff>
      <xdr:row>1</xdr:row>
      <xdr:rowOff>132419</xdr:rowOff>
    </xdr:from>
    <xdr:ext cx="5877315" cy="937693"/>
    <xdr:sp macro="" textlink="">
      <xdr:nvSpPr>
        <xdr:cNvPr id="39" name="Rectangle 38">
          <a:extLst>
            <a:ext uri="{FF2B5EF4-FFF2-40B4-BE49-F238E27FC236}">
              <a16:creationId xmlns:a16="http://schemas.microsoft.com/office/drawing/2014/main" id="{CA50BC8A-2608-F272-3B12-8E4853871D34}"/>
            </a:ext>
          </a:extLst>
        </xdr:cNvPr>
        <xdr:cNvSpPr/>
      </xdr:nvSpPr>
      <xdr:spPr>
        <a:xfrm>
          <a:off x="1333500" y="322919"/>
          <a:ext cx="5877315" cy="937693"/>
        </a:xfrm>
        <a:prstGeom prst="rect">
          <a:avLst/>
        </a:prstGeom>
      </xdr:spPr>
      <xdr:style>
        <a:lnRef idx="2">
          <a:schemeClr val="accent1"/>
        </a:lnRef>
        <a:fillRef idx="1">
          <a:schemeClr val="lt1"/>
        </a:fillRef>
        <a:effectRef idx="0">
          <a:schemeClr val="accent1"/>
        </a:effectRef>
        <a:fontRef idx="minor">
          <a:schemeClr val="dk1"/>
        </a:fontRef>
      </xdr:style>
      <xdr:txBody>
        <a:bodyPr wrap="none" lIns="91440" tIns="45720" rIns="91440" bIns="45720">
          <a:spAutoFit/>
        </a:bodyPr>
        <a:lstStyle/>
        <a:p>
          <a:pPr algn="ctr"/>
          <a:r>
            <a:rPr lang="en-US" sz="5400" b="0" cap="none" spc="0">
              <a:ln w="0"/>
              <a:solidFill>
                <a:schemeClr val="accent1"/>
              </a:solidFill>
              <a:effectLst>
                <a:outerShdw blurRad="38100" dist="25400" dir="5400000" algn="ctr" rotWithShape="0">
                  <a:srgbClr val="6E747A">
                    <a:alpha val="43000"/>
                  </a:srgbClr>
                </a:outerShdw>
              </a:effectLst>
            </a:rPr>
            <a:t>January</a:t>
          </a:r>
          <a:r>
            <a:rPr lang="en-US" sz="5400" b="0" cap="none" spc="0" baseline="0">
              <a:ln w="0"/>
              <a:solidFill>
                <a:schemeClr val="accent1"/>
              </a:solidFill>
              <a:effectLst>
                <a:outerShdw blurRad="38100" dist="25400" dir="5400000" algn="ctr" rotWithShape="0">
                  <a:srgbClr val="6E747A">
                    <a:alpha val="43000"/>
                  </a:srgbClr>
                </a:outerShdw>
              </a:effectLst>
            </a:rPr>
            <a:t>- Load Factor</a:t>
          </a:r>
          <a:endParaRPr lang="en-US" sz="5400" b="0" cap="none" spc="0">
            <a:ln w="0"/>
            <a:solidFill>
              <a:schemeClr val="accent1"/>
            </a:solidFill>
            <a:effectLst>
              <a:outerShdw blurRad="38100" dist="25400" dir="5400000" algn="ctr" rotWithShape="0">
                <a:srgbClr val="6E747A">
                  <a:alpha val="43000"/>
                </a:srgbClr>
              </a:outerShdw>
            </a:effectLst>
          </a:endParaRP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654282405" createdVersion="5" refreshedVersion="8" minRefreshableVersion="3" recordCount="0" supportSubquery="1" supportAdvancedDrill="1" xr:uid="{0B6EC531-0538-4A6E-8879-F9DE756C7661}">
  <cacheSource type="external" connectionId="4"/>
  <cacheFields count="4">
    <cacheField name="[2026].[WeekNum].[WeekNum]" caption="WeekNum" numFmtId="0" hierarchy="4" level="1">
      <sharedItems containsSemiMixedTypes="0" containsString="0" containsNumber="1" containsInteger="1" minValue="1" maxValue="5" count="5">
        <n v="1"/>
        <n v="2"/>
        <n v="3"/>
        <n v="4"/>
        <n v="5"/>
      </sharedItems>
    </cacheField>
    <cacheField name="[Measures].[Total Arrival]" caption="Total Arrival" numFmtId="0" hierarchy="36" level="32767"/>
    <cacheField name="[Measures].[Total in Departure]" caption="Total in Departure" numFmtId="0" hierarchy="37" level="32767"/>
    <cacheField name="[FltLoadJanuary2026].[A Date].[A Date]" caption="A Date" numFmtId="0" hierarchy="18"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0" memberValueDatatype="7" unbalanced="0"/>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fieldsUsage count="2">
        <fieldUsage x="-1"/>
        <fieldUsage x="0"/>
      </fieldsUsage>
    </cacheHierarchy>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fieldsUsage count="2">
        <fieldUsage x="-1"/>
        <fieldUsage x="3"/>
      </fieldsUsage>
    </cacheHierarchy>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oneField="1">
      <fieldsUsage count="1">
        <fieldUsage x="1"/>
      </fieldsUsage>
    </cacheHierarchy>
    <cacheHierarchy uniqueName="[Measures].[Total in Departure]" caption="Total in Departure" measure="1" displayFolder="" measureGroup="FltLoadJanuary2026" count="0" oneField="1">
      <fieldsUsage count="1">
        <fieldUsage x="2"/>
      </fieldsUsage>
    </cacheHierarchy>
    <cacheHierarchy uniqueName="[Measures].[Sum of January Pax]" caption="Sum of January Pax" measure="1" displayFolder="" measureGroup="FltLoadJanuary2026" count="0"/>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5925926" createdVersion="5" refreshedVersion="8" minRefreshableVersion="3" recordCount="0" supportSubquery="1" supportAdvancedDrill="1" xr:uid="{91AE7D83-DD23-4551-A614-23617F67BB6A}">
  <cacheSource type="external" connectionId="4"/>
  <cacheFields count="3">
    <cacheField name="[FltLoadJanuary2026].[Operator].[Operator]" caption="Operator" numFmtId="0" hierarchy="16" level="1">
      <sharedItems count="10">
        <s v="AKX/AXM AIRASIA"/>
        <s v="DRM/RLH RUILL AIRLINES"/>
        <s v="GA/GIA GARUDA INDONESIA"/>
        <s v="GN/AGN CHARTER"/>
        <s v="ID/BTK BATIK AIR"/>
        <s v="K2/KHM AIR CAMBODIA"/>
        <s v="KR/KME CAMBODIA AIRWAYS"/>
        <s v="KTH/KTC AIRASIE CAMBODIA"/>
        <s v="SOQ/SOQ HELISTAR CAMBODIA"/>
        <s v="ZAB/SWMW SKY ANGKOR AIRLINES"/>
      </sharedItems>
    </cacheField>
    <cacheField name="[Measures].[Sum of January Pax]" caption="Sum of January Pax" numFmtId="0" hierarchy="38" level="32767"/>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2"/>
      </fieldsUsage>
    </cacheHierarchy>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2" memberValueDatatype="130" unbalanced="0">
      <fieldsUsage count="2">
        <fieldUsage x="-1"/>
        <fieldUsage x="0"/>
      </fieldsUsage>
    </cacheHierarchy>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cacheHierarchy uniqueName="[Measures].[Sum of January Pax]" caption="Sum of January Pax" measure="1" displayFolder="" measureGroup="FltLoadJanuary2026" count="0" oneField="1">
      <fieldsUsage count="1">
        <fieldUsage x="1"/>
      </fieldsUsage>
    </cacheHierarchy>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60185183" createdVersion="5" refreshedVersion="8" minRefreshableVersion="3" recordCount="0" supportSubquery="1" supportAdvancedDrill="1" xr:uid="{45D9DC9A-7990-44E2-8E49-F24B0FEFA914}">
  <cacheSource type="external" connectionId="4"/>
  <cacheFields count="3">
    <cacheField name="[Measures].[Total in Departure]" caption="Total in Departure" numFmtId="0" hierarchy="37" level="32767"/>
    <cacheField name="[FltLoadJanuary2026].[Dept. To].[Dept. To]" caption="Dept. To" numFmtId="0" hierarchy="22" level="1">
      <sharedItems count="10">
        <s v="AK265-KUL"/>
        <s v="DR5030-KMG"/>
        <s v="DR5032-WUX"/>
        <s v="ID8883-CGK"/>
        <s v="K6130-SAI"/>
        <s v="K6132-SAI"/>
        <s v="K6838-SGN"/>
        <s v="K6930-SZX"/>
        <s v="KR961-TFU"/>
        <s v="KT175-KUL"/>
      </sharedItems>
    </cacheField>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2"/>
      </fieldsUsage>
    </cacheHierarchy>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2" memberValueDatatype="130" unbalanced="0">
      <fieldsUsage count="2">
        <fieldUsage x="-1"/>
        <fieldUsage x="1"/>
      </fieldsUsage>
    </cacheHierarchy>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oneField="1">
      <fieldsUsage count="1">
        <fieldUsage x="0"/>
      </fieldsUsage>
    </cacheHierarchy>
    <cacheHierarchy uniqueName="[Measures].[Sum of January Pax]" caption="Sum of January Pax" measure="1" displayFolder="" measureGroup="FltLoadJanuary2026" count="0"/>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61226853" createdVersion="5" refreshedVersion="8" minRefreshableVersion="3" recordCount="0" supportSubquery="1" supportAdvancedDrill="1" xr:uid="{EB64A92E-048D-4FBB-BDFF-D80AE18273EE}">
  <cacheSource type="external" connectionId="4"/>
  <cacheFields count="3">
    <cacheField name="[Measures].[Sum of Arr.Pax]" caption="Sum of Arr.Pax" numFmtId="0" hierarchy="27" level="32767"/>
    <cacheField name="[FltLoadJanuary2026].[Arrival From].[Arrival From]" caption="Arrival From" numFmtId="0" hierarchy="17" level="1">
      <sharedItems count="10">
        <s v="AK264-KUL"/>
        <s v="DR5029-KMG"/>
        <s v="DR5031-WUX"/>
        <s v="K6131-SAI"/>
        <s v="K6133-SAI"/>
        <s v="K6135-SAI"/>
        <s v="K6839-SGN"/>
        <s v="K6931-SZX"/>
        <s v="KR962-TFU"/>
        <s v="KT174-KUL"/>
      </sharedItems>
    </cacheField>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2"/>
      </fieldsUsage>
    </cacheHierarchy>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2" memberValueDatatype="130" unbalanced="0">
      <fieldsUsage count="2">
        <fieldUsage x="-1"/>
        <fieldUsage x="1"/>
      </fieldsUsage>
    </cacheHierarchy>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oneField="1">
      <fieldsUsage count="1">
        <fieldUsage x="0"/>
      </fieldsUsage>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cacheHierarchy uniqueName="[Measures].[Sum of January Pax]" caption="Sum of January Pax" measure="1" displayFolder="" measureGroup="FltLoadJanuary2026" count="0"/>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62152777" createdVersion="5" refreshedVersion="8" minRefreshableVersion="3" recordCount="0" supportSubquery="1" supportAdvancedDrill="1" xr:uid="{58DDEEA0-E24C-47D6-9D55-441B580F4B51}">
  <cacheSource type="external" connectionId="4"/>
  <cacheFields count="3">
    <cacheField name="[FltLoadJanuary2026].[Operator].[Operator]" caption="Operator" numFmtId="0" hierarchy="16" level="1">
      <sharedItems count="10">
        <s v="AKX/AXM AIRASIA"/>
        <s v="DRM/RLH RUILL AIRLINES"/>
        <s v="GA/GIA GARUDA INDONESIA"/>
        <s v="GN/AGN CHARTER"/>
        <s v="ID/BTK BATIK AIR"/>
        <s v="K2/KHM AIR CAMBODIA"/>
        <s v="KR/KME CAMBODIA AIRWAYS"/>
        <s v="KTH/KTC AIRASIE CAMBODIA"/>
        <s v="SOQ/SOQ HELISTAR CAMBODIA"/>
        <s v="ZAB/SWMW SKY ANGKOR AIRLINES"/>
      </sharedItems>
    </cacheField>
    <cacheField name="[Measures].[Sum of January Pax]" caption="Sum of January Pax" numFmtId="0" hierarchy="38" level="32767"/>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2"/>
      </fieldsUsage>
    </cacheHierarchy>
    <cacheHierarchy uniqueName="[2026].[Year]" caption="Year" attribute="1" defaultMemberUniqueName="[2026].[Year].[All]" allUniqueName="[2026].[Year].[All]" dimensionUniqueName="[2026]" displayFolder="" count="2" memberValueDatatype="5" unbalanced="0"/>
    <cacheHierarchy uniqueName="[2026].[Month]" caption="Month" attribute="1" defaultMemberUniqueName="[2026].[Month].[All]" allUniqueName="[2026].[Month].[All]" dimensionUniqueName="[2026]" displayFolder="" count="2" memberValueDatatype="5" unbalanced="0"/>
    <cacheHierarchy uniqueName="[2026].[Day]" caption="Day" attribute="1" defaultMemberUniqueName="[2026].[Day].[All]" allUniqueName="[2026].[Day].[All]" dimensionUniqueName="[2026]" displayFolder="" count="2"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2" memberValueDatatype="5" unbalanced="0"/>
    <cacheHierarchy uniqueName="[2026].[WeekDayName]" caption="WeekDayName" attribute="1" defaultMemberUniqueName="[2026].[WeekDayName].[All]" allUniqueName="[2026].[WeekDayName].[All]" dimensionUniqueName="[2026]" displayFolder="" count="2" memberValueDatatype="130" unbalanced="0"/>
    <cacheHierarchy uniqueName="[2026].[Month Name]" caption="Month Name" attribute="1" defaultMemberUniqueName="[2026].[Month Name].[All]" allUniqueName="[2026].[Month Name].[All]" dimensionUniqueName="[2026]" displayFolder="" count="2" memberValueDatatype="130" unbalanced="0"/>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FltLoadJanuary2026].[Operator]" caption="Operator" attribute="1" defaultMemberUniqueName="[FltLoadJanuary2026].[Operator].[All]" allUniqueName="[FltLoadJanuary2026].[Operator].[All]" dimensionUniqueName="[FltLoadJanuary2026]" displayFolder="" count="2" memberValueDatatype="130" unbalanced="0">
      <fieldsUsage count="2">
        <fieldUsage x="-1"/>
        <fieldUsage x="0"/>
      </fieldsUsage>
    </cacheHierarchy>
    <cacheHierarchy uniqueName="[FltLoadJanuary2026].[Arrival From]" caption="Arrival From" attribute="1" defaultMemberUniqueName="[FltLoadJanuary2026].[Arrival From].[All]" allUniqueName="[FltLoadJanuary2026].[Arrival From].[All]" dimensionUniqueName="[FltLoadJanuary2026]" displayFolder="" count="2"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2" memberValueDatatype="7" unbalanced="0"/>
    <cacheHierarchy uniqueName="[FltLoadJanuary2026].[Arr.Pax]" caption="Arr.Pax" attribute="1" defaultMemberUniqueName="[FltLoadJanuary2026].[Arr.Pax].[All]" allUniqueName="[FltLoadJanuary2026].[Arr.Pax].[All]" dimensionUniqueName="[FltLoadJanuary2026]" displayFolder="" count="2" memberValueDatatype="20" unbalanced="0"/>
    <cacheHierarchy uniqueName="[FltLoadJanuary2026].[Remark]" caption="Remark" attribute="1" defaultMemberUniqueName="[FltLoadJanuary2026].[Remark].[All]" allUniqueName="[FltLoadJanuary2026].[Remark].[All]" dimensionUniqueName="[FltLoadJanuary2026]" displayFolder="" count="2" memberValueDatatype="130" unbalanced="0"/>
    <cacheHierarchy uniqueName="[FltLoadJanuary2026].[Dept. To]" caption="Dept. To" attribute="1" defaultMemberUniqueName="[FltLoadJanuary2026].[Dept. To].[All]" allUniqueName="[FltLoadJanuary2026].[Dept. To].[All]" dimensionUniqueName="[FltLoadJanuary2026]" displayFolder="" count="2" memberValueDatatype="130" unbalanced="0"/>
    <cacheHierarchy uniqueName="[FltLoadJanuary2026].[D Date]" caption="D Date" attribute="1" time="1" defaultMemberUniqueName="[FltLoadJanuary2026].[D Date].[All]" allUniqueName="[FltLoadJanuary2026].[D Date].[All]" dimensionUniqueName="[FltLoadJanuary2026]" displayFolder="" count="2" memberValueDatatype="7" unbalanced="0"/>
    <cacheHierarchy uniqueName="[FltLoadJanuary2026].[PaxInFlight]" caption="PaxInFlight" attribute="1" defaultMemberUniqueName="[FltLoadJanuary2026].[PaxInFlight].[All]" allUniqueName="[FltLoadJanuary2026].[PaxInFlight].[All]" dimensionUniqueName="[FltLoadJanuary2026]" displayFolder="" count="2" memberValueDatatype="20" unbalanced="0"/>
    <cacheHierarchy uniqueName="[FltLoadJanuary2026].[Dep Remarks]" caption="Dep Remarks" attribute="1" defaultMemberUniqueName="[FltLoadJanuary2026].[Dep Remarks].[All]" allUniqueName="[FltLoadJanuary2026].[Dep Remarks].[All]" dimensionUniqueName="[FltLoadJanuary2026]" displayFolder="" count="2"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2"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cacheHierarchy uniqueName="[Measures].[Sum of January Pax]" caption="Sum of January Pax" measure="1" displayFolder="" measureGroup="FltLoadJanuary2026" count="0" oneField="1">
      <fieldsUsage count="1">
        <fieldUsage x="1"/>
      </fieldsUsage>
    </cacheHierarchy>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62962962" createdVersion="5" refreshedVersion="8" minRefreshableVersion="3" recordCount="0" supportSubquery="1" supportAdvancedDrill="1" xr:uid="{8ACAF91A-F364-409D-9D25-565460A02921}">
  <cacheSource type="external" connectionId="4"/>
  <cacheFields count="4">
    <cacheField name="[2026].[WeekNum].[WeekNum]" caption="WeekNum" numFmtId="0" hierarchy="4" level="1">
      <sharedItems containsSemiMixedTypes="0" containsString="0" containsNumber="1" containsInteger="1" minValue="1" maxValue="5" count="5">
        <n v="1"/>
        <n v="2"/>
        <n v="3"/>
        <n v="4"/>
        <n v="5"/>
      </sharedItems>
    </cacheField>
    <cacheField name="[Measures].[Sum of January Pax]" caption="Sum of January Pax" numFmtId="0" hierarchy="38" level="32767"/>
    <cacheField name="[Measures].[Count of Dep Remarks]" caption="Count of Dep Remarks" numFmtId="0" hierarchy="32" level="32767"/>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3"/>
      </fieldsUsage>
    </cacheHierarchy>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fieldsUsage count="2">
        <fieldUsage x="-1"/>
        <fieldUsage x="0"/>
      </fieldsUsage>
    </cacheHierarchy>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oneField="1">
      <fieldsUsage count="1">
        <fieldUsage x="2"/>
      </fieldsUsage>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cacheHierarchy uniqueName="[Measures].[Sum of January Pax]" caption="Sum of January Pax" measure="1" displayFolder="" measureGroup="FltLoadJanuary2026" count="0" oneField="1">
      <fieldsUsage count="1">
        <fieldUsage x="1"/>
      </fieldsUsage>
    </cacheHierarchy>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627763657409" createdVersion="5" refreshedVersion="8" minRefreshableVersion="3" recordCount="0" supportSubquery="1" supportAdvancedDrill="1" xr:uid="{8EB59F62-9244-456B-AA41-352E1343B1D9}">
  <cacheSource type="external" connectionId="4"/>
  <cacheFields count="4">
    <cacheField name="[Measures].[Sum of January Pax]" caption="Sum of January Pax" numFmtId="0" hierarchy="38" level="32767"/>
    <cacheField name="[Measures].[Total Arrival]" caption="Total Arrival" numFmtId="0" hierarchy="36" level="32767"/>
    <cacheField name="[Measures].[Total in Departure]" caption="Total in Departure" numFmtId="0" hierarchy="37" level="32767"/>
    <cacheField name="[2026].[Date].[Date]" caption="Date" numFmtId="0" level="1">
      <sharedItems containsSemiMixedTypes="0" containsNonDate="0" containsString="0"/>
    </cacheField>
  </cacheFields>
  <cacheHierarchies count="43">
    <cacheHierarchy uniqueName="[2026].[Date]" caption="Date" attribute="1" time="1" defaultMemberUniqueName="[2026].[Date].[All]" allUniqueName="[2026].[Date].[All]" dimensionUniqueName="[2026]" displayFolder="" count="2" memberValueDatatype="7" unbalanced="0">
      <fieldsUsage count="2">
        <fieldUsage x="-1"/>
        <fieldUsage x="3"/>
      </fieldsUsage>
    </cacheHierarchy>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oneField="1">
      <fieldsUsage count="1">
        <fieldUsage x="1"/>
      </fieldsUsage>
    </cacheHierarchy>
    <cacheHierarchy uniqueName="[Measures].[Total in Departure]" caption="Total in Departure" measure="1" displayFolder="" measureGroup="FltLoadJanuary2026" count="0" oneField="1">
      <fieldsUsage count="1">
        <fieldUsage x="2"/>
      </fieldsUsage>
    </cacheHierarchy>
    <cacheHierarchy uniqueName="[Measures].[Sum of January Pax]" caption="Sum of January Pax" measure="1" displayFolder="" measureGroup="FltLoadJanuary2026" count="0" oneField="1">
      <fieldsUsage count="1">
        <fieldUsage x="0"/>
      </fieldsUsage>
    </cacheHierarchy>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4">
    <dimension name="2026" uniqueName="[2026]" caption="2026"/>
    <dimension name="Calendar" uniqueName="[Calendar]" caption="Calendar"/>
    <dimension name="FltLoadJanuary2026" uniqueName="[FltLoadJanuary2026]" caption="FltLoadJanuary2026"/>
    <dimension measure="1" name="Measures" uniqueName="[Measures]" caption="Measures"/>
  </dimensions>
  <measureGroups count="3">
    <measureGroup name="2026" caption="2026"/>
    <measureGroup name="Calendar" caption="Calendar"/>
    <measureGroup name="FltLoadJanuary2026" caption="FltLoadJanuary2026"/>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Yuthyia" refreshedDate="46320.58733761574" createdVersion="3" refreshedVersion="8" minRefreshableVersion="3" recordCount="0" supportSubquery="1" supportAdvancedDrill="1" xr:uid="{4521FE7F-8D58-4784-87C6-644DD282CEB9}">
  <cacheSource type="external" connectionId="4">
    <extLst>
      <ext xmlns:x14="http://schemas.microsoft.com/office/spreadsheetml/2009/9/main" uri="{F057638F-6D5F-4e77-A914-E7F072B9BCA8}">
        <x14:sourceConnection name="ThisWorkbookDataModel"/>
      </ext>
    </extLst>
  </cacheSource>
  <cacheFields count="0"/>
  <cacheHierarchies count="43">
    <cacheHierarchy uniqueName="[2026].[Date]" caption="Date" attribute="1" time="1" defaultMemberUniqueName="[2026].[Date].[All]" allUniqueName="[2026].[Date].[All]" dimensionUniqueName="[2026]" displayFolder="" count="0" memberValueDatatype="7" unbalanced="0"/>
    <cacheHierarchy uniqueName="[2026].[Year]" caption="Year" attribute="1" defaultMemberUniqueName="[2026].[Year].[All]" allUniqueName="[2026].[Year].[All]" dimensionUniqueName="[2026]" displayFolder="" count="0" memberValueDatatype="5" unbalanced="0"/>
    <cacheHierarchy uniqueName="[2026].[Month]" caption="Month" attribute="1" defaultMemberUniqueName="[2026].[Month].[All]" allUniqueName="[2026].[Month].[All]" dimensionUniqueName="[2026]" displayFolder="" count="0" memberValueDatatype="5" unbalanced="0"/>
    <cacheHierarchy uniqueName="[2026].[Day]" caption="Day" attribute="1" defaultMemberUniqueName="[2026].[Day].[All]" allUniqueName="[2026].[Day].[All]" dimensionUniqueName="[2026]" displayFolder="" count="0" memberValueDatatype="5" unbalanced="0"/>
    <cacheHierarchy uniqueName="[2026].[WeekNum]" caption="WeekNum" attribute="1" defaultMemberUniqueName="[2026].[WeekNum].[All]" allUniqueName="[2026].[WeekNum].[All]" dimensionUniqueName="[2026]" displayFolder="" count="2" memberValueDatatype="5" unbalanced="0"/>
    <cacheHierarchy uniqueName="[2026].[WeekDay]" caption="WeekDay" attribute="1" defaultMemberUniqueName="[2026].[WeekDay].[All]" allUniqueName="[2026].[WeekDay].[All]" dimensionUniqueName="[2026]" displayFolder="" count="0" memberValueDatatype="5" unbalanced="0"/>
    <cacheHierarchy uniqueName="[2026].[WeekDayName]" caption="WeekDayName" attribute="1" defaultMemberUniqueName="[2026].[WeekDayName].[All]" allUniqueName="[2026].[WeekDayName].[All]" dimensionUniqueName="[2026]" displayFolder="" count="0" memberValueDatatype="130" unbalanced="0"/>
    <cacheHierarchy uniqueName="[2026].[Month Name]" caption="Month Name" attribute="1" defaultMemberUniqueName="[2026].[Month Name].[All]" allUniqueName="[2026].[Month Name].[All]" dimensionUniqueName="[2026]"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FltLoadJanuary2026].[Operator]" caption="Operator" attribute="1" defaultMemberUniqueName="[FltLoadJanuary2026].[Operator].[All]" allUniqueName="[FltLoadJanuary2026].[Operator].[All]" dimensionUniqueName="[FltLoadJanuary2026]" displayFolder="" count="0" memberValueDatatype="130" unbalanced="0"/>
    <cacheHierarchy uniqueName="[FltLoadJanuary2026].[Arrival From]" caption="Arrival From" attribute="1" defaultMemberUniqueName="[FltLoadJanuary2026].[Arrival From].[All]" allUniqueName="[FltLoadJanuary2026].[Arrival From].[All]" dimensionUniqueName="[FltLoadJanuary2026]" displayFolder="" count="0" memberValueDatatype="130" unbalanced="0"/>
    <cacheHierarchy uniqueName="[FltLoadJanuary2026].[A Date]" caption="A Date" attribute="1" time="1" defaultMemberUniqueName="[FltLoadJanuary2026].[A Date].[All]" allUniqueName="[FltLoadJanuary2026].[A Date].[All]" dimensionUniqueName="[FltLoadJanuary2026]" displayFolder="" count="2" memberValueDatatype="7" unbalanced="0"/>
    <cacheHierarchy uniqueName="[FltLoadJanuary2026].[STA]" caption="STA" attribute="1" time="1" defaultMemberUniqueName="[FltLoadJanuary2026].[STA].[All]" allUniqueName="[FltLoadJanuary2026].[STA].[All]" dimensionUniqueName="[FltLoadJanuary2026]" displayFolder="" count="0" memberValueDatatype="7" unbalanced="0"/>
    <cacheHierarchy uniqueName="[FltLoadJanuary2026].[Arr.Pax]" caption="Arr.Pax" attribute="1" defaultMemberUniqueName="[FltLoadJanuary2026].[Arr.Pax].[All]" allUniqueName="[FltLoadJanuary2026].[Arr.Pax].[All]" dimensionUniqueName="[FltLoadJanuary2026]" displayFolder="" count="0" memberValueDatatype="20" unbalanced="0"/>
    <cacheHierarchy uniqueName="[FltLoadJanuary2026].[Remark]" caption="Remark" attribute="1" defaultMemberUniqueName="[FltLoadJanuary2026].[Remark].[All]" allUniqueName="[FltLoadJanuary2026].[Remark].[All]" dimensionUniqueName="[FltLoadJanuary2026]" displayFolder="" count="0" memberValueDatatype="130" unbalanced="0"/>
    <cacheHierarchy uniqueName="[FltLoadJanuary2026].[Dept. To]" caption="Dept. To" attribute="1" defaultMemberUniqueName="[FltLoadJanuary2026].[Dept. To].[All]" allUniqueName="[FltLoadJanuary2026].[Dept. To].[All]" dimensionUniqueName="[FltLoadJanuary2026]" displayFolder="" count="0" memberValueDatatype="130" unbalanced="0"/>
    <cacheHierarchy uniqueName="[FltLoadJanuary2026].[D Date]" caption="D Date" attribute="1" time="1" defaultMemberUniqueName="[FltLoadJanuary2026].[D Date].[All]" allUniqueName="[FltLoadJanuary2026].[D Date].[All]" dimensionUniqueName="[FltLoadJanuary2026]" displayFolder="" count="0" memberValueDatatype="7" unbalanced="0"/>
    <cacheHierarchy uniqueName="[FltLoadJanuary2026].[PaxInFlight]" caption="PaxInFlight" attribute="1" defaultMemberUniqueName="[FltLoadJanuary2026].[PaxInFlight].[All]" allUniqueName="[FltLoadJanuary2026].[PaxInFlight].[All]" dimensionUniqueName="[FltLoadJanuary2026]" displayFolder="" count="0" memberValueDatatype="20" unbalanced="0"/>
    <cacheHierarchy uniqueName="[FltLoadJanuary2026].[Dep Remarks]" caption="Dep Remarks" attribute="1" defaultMemberUniqueName="[FltLoadJanuary2026].[Dep Remarks].[All]" allUniqueName="[FltLoadJanuary2026].[Dep Remarks].[All]" dimensionUniqueName="[FltLoadJanuary2026]" displayFolder="" count="0" memberValueDatatype="130" unbalanced="0"/>
    <cacheHierarchy uniqueName="[FltLoadJanuary2026].[Daily Total]" caption="Daily Total" attribute="1" defaultMemberUniqueName="[FltLoadJanuary2026].[Daily Total].[All]" allUniqueName="[FltLoadJanuary2026].[Daily Total].[All]" dimensionUniqueName="[FltLoadJanuary2026]" displayFolder="" count="0" memberValueDatatype="20" unbalanced="0"/>
    <cacheHierarchy uniqueName="[Measures].[Sum of Arr.Pax]" caption="Sum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PaxInFlight]" caption="Sum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Sum of Daily Total]" caption="Sum of Daily Total" measure="1" displayFolder="" measureGroup="FltLoadJanuary2026" count="0">
      <extLst>
        <ext xmlns:x15="http://schemas.microsoft.com/office/spreadsheetml/2010/11/main" uri="{B97F6D7D-B522-45F9-BDA1-12C45D357490}">
          <x15:cacheHierarchy aggregatedColumn="26"/>
        </ext>
      </extLst>
    </cacheHierarchy>
    <cacheHierarchy uniqueName="[Measures].[Sum of WeekDay]" caption="Sum of WeekDay" measure="1" displayFolder="" measureGroup="2026" count="0">
      <extLst>
        <ext xmlns:x15="http://schemas.microsoft.com/office/spreadsheetml/2010/11/main" uri="{B97F6D7D-B522-45F9-BDA1-12C45D357490}">
          <x15:cacheHierarchy aggregatedColumn="5"/>
        </ext>
      </extLst>
    </cacheHierarchy>
    <cacheHierarchy uniqueName="[Measures].[Count of Remark]" caption="Count of Remark" measure="1" displayFolder="" measureGroup="FltLoadJanuary2026" count="0">
      <extLst>
        <ext xmlns:x15="http://schemas.microsoft.com/office/spreadsheetml/2010/11/main" uri="{B97F6D7D-B522-45F9-BDA1-12C45D357490}">
          <x15:cacheHierarchy aggregatedColumn="21"/>
        </ext>
      </extLst>
    </cacheHierarchy>
    <cacheHierarchy uniqueName="[Measures].[Count of Dep Remarks]" caption="Count of Dep Remarks" measure="1" displayFolder="" measureGroup="FltLoadJanuary2026" count="0">
      <extLst>
        <ext xmlns:x15="http://schemas.microsoft.com/office/spreadsheetml/2010/11/main" uri="{B97F6D7D-B522-45F9-BDA1-12C45D357490}">
          <x15:cacheHierarchy aggregatedColumn="25"/>
        </ext>
      </extLst>
    </cacheHierarchy>
    <cacheHierarchy uniqueName="[Measures].[Count of PaxInFlight]" caption="Count of PaxInFlight" measure="1" displayFolder="" measureGroup="FltLoadJanuary2026" count="0">
      <extLst>
        <ext xmlns:x15="http://schemas.microsoft.com/office/spreadsheetml/2010/11/main" uri="{B97F6D7D-B522-45F9-BDA1-12C45D357490}">
          <x15:cacheHierarchy aggregatedColumn="24"/>
        </ext>
      </extLst>
    </cacheHierarchy>
    <cacheHierarchy uniqueName="[Measures].[Count of Arr.Pax]" caption="Count of Arr.Pax" measure="1" displayFolder="" measureGroup="FltLoadJanuary2026" count="0">
      <extLst>
        <ext xmlns:x15="http://schemas.microsoft.com/office/spreadsheetml/2010/11/main" uri="{B97F6D7D-B522-45F9-BDA1-12C45D357490}">
          <x15:cacheHierarchy aggregatedColumn="20"/>
        </ext>
      </extLst>
    </cacheHierarchy>
    <cacheHierarchy uniqueName="[Measures].[Sum of WeekNum]" caption="Sum of WeekNum" measure="1" displayFolder="" measureGroup="2026" count="0">
      <extLst>
        <ext xmlns:x15="http://schemas.microsoft.com/office/spreadsheetml/2010/11/main" uri="{B97F6D7D-B522-45F9-BDA1-12C45D357490}">
          <x15:cacheHierarchy aggregatedColumn="4"/>
        </ext>
      </extLst>
    </cacheHierarchy>
    <cacheHierarchy uniqueName="[Measures].[Total Arrival]" caption="Total Arrival" measure="1" displayFolder="" measureGroup="FltLoadJanuary2026" count="0"/>
    <cacheHierarchy uniqueName="[Measures].[Total in Departure]" caption="Total in Departure" measure="1" displayFolder="" measureGroup="FltLoadJanuary2026" count="0"/>
    <cacheHierarchy uniqueName="[Measures].[Sum of January Pax]" caption="Sum of January Pax" measure="1" displayFolder="" measureGroup="FltLoadJanuary2026" count="0"/>
    <cacheHierarchy uniqueName="[Measures].[__XL_Count FltLoadJanuary2026]" caption="__XL_Count FltLoadJanuary2026" measure="1" displayFolder="" measureGroup="FltLoadJanuary2026" count="0" hidden="1"/>
    <cacheHierarchy uniqueName="[Measures].[__XL_Count 2026]" caption="__XL_Count 2026" measure="1" displayFolder="" measureGroup="2026"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690340079"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6456ED-2D38-4D56-BA53-F9998945940D}" name="PivotTable2" cacheId="1306" applyNumberFormats="0" applyBorderFormats="0" applyFontFormats="0" applyPatternFormats="0" applyAlignmentFormats="0" applyWidthHeightFormats="1" dataCaption="Values" tag="b20d2d54-6551-4a14-bf66-6a416a523894" updatedVersion="8" minRefreshableVersion="5" useAutoFormatting="1" subtotalHiddenItems="1" itemPrintTitles="1" createdVersion="5" indent="0" outline="1" outlineData="1" multipleFieldFilters="0" rowHeaderCaption="Operator ">
  <location ref="C79:D90"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Percentage of Pax" fld="1" subtotal="count" showDataAs="percentOfTotal" baseField="0" baseItem="0" numFmtId="9"/>
  </dataField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ercentage of Pax"/>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Equal" evalOrder="-1" id="15"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7BD915-85FB-4861-9C50-17C7B67593E4}" name="PivotTable6" cacheId="1285" applyNumberFormats="0" applyBorderFormats="0" applyFontFormats="0" applyPatternFormats="0" applyAlignmentFormats="0" applyWidthHeightFormats="1" dataCaption="Values" tag="84365bca-48a1-46c8-b096-c676c9b95dc6" updatedVersion="8" minRefreshableVersion="3" useAutoFormatting="1" subtotalHiddenItems="1" itemPrintTitles="1" createdVersion="5" indent="0" outline="1" outlineData="1" multipleFieldFilters="0" chartFormat="8" rowHeaderCaption="Weekly SUM">
  <location ref="A99:C105" firstHeaderRow="0" firstDataRow="1" firstDataCol="1" rowPageCount="1" colPageCount="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xis="axisPage"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pageFields count="1">
    <pageField fld="3" hier="18" name="[FltLoadJanuary2026].[A Date].[All]" cap="All"/>
  </pageFields>
  <dataFields count="2">
    <dataField fld="1" subtotal="count" baseField="0" baseItem="0"/>
    <dataField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5" series="1">
      <pivotArea type="data" outline="0" fieldPosition="0">
        <references count="1">
          <reference field="4294967294" count="1" selected="0">
            <x v="0"/>
          </reference>
        </references>
      </pivotArea>
    </chartFormat>
    <chartFormat chart="7" format="6"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activeTabTopLevelEntity name="[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D2B385-B428-4056-BCC6-25DB5C22CAFB}" name="TopDeparture" cacheId="1309" applyNumberFormats="0" applyBorderFormats="0" applyFontFormats="0" applyPatternFormats="0" applyAlignmentFormats="0" applyWidthHeightFormats="1" dataCaption="Values" tag="75a16ac6-cd19-4e94-b7b9-6561c013c7fc" updatedVersion="8" minRefreshableVersion="5" useAutoFormatting="1" subtotalHiddenItems="1" itemPrintTitles="1" createdVersion="5" indent="0" outline="1" outlineData="1" multipleFieldFilters="0" chartFormat="4">
  <location ref="A63:B74"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i>
    <i>
      <x v="6"/>
    </i>
    <i>
      <x v="9"/>
    </i>
    <i>
      <x v="4"/>
    </i>
    <i>
      <x v="1"/>
    </i>
    <i>
      <x v="7"/>
    </i>
    <i>
      <x v="2"/>
    </i>
    <i>
      <x v="8"/>
    </i>
    <i>
      <x v="5"/>
    </i>
    <i>
      <x v="3"/>
    </i>
    <i t="grand">
      <x/>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Equal" evalOrder="-1" id="16"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 fld="1" type="count" id="1" iMeasureHier="37">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11C6F8-375D-4243-9AAD-A106E47E2DD2}" name="TopArrivalRoute" cacheId="1312" applyNumberFormats="0" applyBorderFormats="0" applyFontFormats="0" applyPatternFormats="0" applyAlignmentFormats="0" applyWidthHeightFormats="1" dataCaption="Values" tag="91b01321-f7a1-43ad-967e-c7803625ac9a" updatedVersion="8" minRefreshableVersion="5" useAutoFormatting="1" subtotalHiddenItems="1" itemPrintTitles="1" createdVersion="5" indent="0" outline="1" outlineData="1" multipleFieldFilters="0" chartFormat="4" rowHeaderCaption="Arrival Routes">
  <location ref="A27:B38" firstHeaderRow="1" firstDataRow="1" firstDataCol="1"/>
  <pivotFields count="3">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3"/>
    </i>
    <i>
      <x/>
    </i>
    <i>
      <x v="9"/>
    </i>
    <i>
      <x v="6"/>
    </i>
    <i>
      <x v="1"/>
    </i>
    <i>
      <x v="7"/>
    </i>
    <i>
      <x v="4"/>
    </i>
    <i>
      <x v="5"/>
    </i>
    <i>
      <x v="2"/>
    </i>
    <i>
      <x v="8"/>
    </i>
    <i t="grand">
      <x/>
    </i>
  </rowItems>
  <colItems count="1">
    <i/>
  </colItems>
  <dataFields count="1">
    <dataField name="Sum of Arr.Pax" fld="0"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2">
    <filter fld="2" type="dateEqual" evalOrder="-1" id="16"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 fld="1" type="count" id="1" iMeasureHier="27">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C6AC09B-EE55-424C-94CF-12CBE84A7643}" name="PaxByOperator" cacheId="1315" applyNumberFormats="0" applyBorderFormats="0" applyFontFormats="0" applyPatternFormats="0" applyAlignmentFormats="0" applyWidthHeightFormats="1" dataCaption="Values" tag="ae378108-4372-4aae-961e-a30e56bb6e58" updatedVersion="8" minRefreshableVersion="5" subtotalHiddenItems="1" itemPrintTitles="1" createdVersion="5" indent="0" outline="1" outlineData="1" multipleFieldFilters="0" chartFormat="7" rowHeaderCaption="Operators">
  <location ref="A13:B24" firstHeaderRow="1" firstDataRow="1" firstDataCol="1"/>
  <pivotFields count="3">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8"/>
    </i>
    <i>
      <x v="2"/>
    </i>
    <i>
      <x v="9"/>
    </i>
    <i>
      <x v="4"/>
    </i>
    <i>
      <x v="3"/>
    </i>
    <i>
      <x v="6"/>
    </i>
    <i>
      <x v="1"/>
    </i>
    <i>
      <x v="7"/>
    </i>
    <i>
      <x/>
    </i>
    <i>
      <x v="5"/>
    </i>
    <i t="grand">
      <x/>
    </i>
  </rowItems>
  <colItems count="1">
    <i/>
  </colItems>
  <dataFields count="1">
    <dataField name="Pax load" fld="1"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7"/>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6"/>
          </reference>
        </references>
      </pivotArea>
    </chartFormat>
    <chartFormat chart="0" format="5" series="1">
      <pivotArea type="data" outline="0" fieldPosition="0">
        <references count="2">
          <reference field="4294967294" count="1" selected="0">
            <x v="0"/>
          </reference>
          <reference field="0" count="1" selected="0">
            <x v="3"/>
          </reference>
        </references>
      </pivotArea>
    </chartFormat>
    <chartFormat chart="0" format="6" series="1">
      <pivotArea type="data" outline="0" fieldPosition="0">
        <references count="2">
          <reference field="4294967294" count="1" selected="0">
            <x v="0"/>
          </reference>
          <reference field="0" count="1" selected="0">
            <x v="4"/>
          </reference>
        </references>
      </pivotArea>
    </chartFormat>
    <chartFormat chart="0" format="7" series="1">
      <pivotArea type="data" outline="0" fieldPosition="0">
        <references count="2">
          <reference field="4294967294" count="1" selected="0">
            <x v="0"/>
          </reference>
          <reference field="0" count="1" selected="0">
            <x v="9"/>
          </reference>
        </references>
      </pivotArea>
    </chartFormat>
    <chartFormat chart="0" format="8" series="1">
      <pivotArea type="data" outline="0" fieldPosition="0">
        <references count="2">
          <reference field="4294967294" count="1" selected="0">
            <x v="0"/>
          </reference>
          <reference field="0" count="1" selected="0">
            <x v="2"/>
          </reference>
        </references>
      </pivotArea>
    </chartFormat>
    <chartFormat chart="0" format="9" series="1">
      <pivotArea type="data" outline="0" fieldPosition="0">
        <references count="2">
          <reference field="4294967294" count="1" selected="0">
            <x v="0"/>
          </reference>
          <reference field="0" count="1" selected="0">
            <x v="8"/>
          </reference>
        </references>
      </pivotArea>
    </chartFormat>
    <chartFormat chart="6" format="11" series="1">
      <pivotArea type="data" outline="0" fieldPosition="0">
        <references count="1">
          <reference field="4294967294" count="1" selected="0">
            <x v="0"/>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caption="Pax load"/>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dateEqual" evalOrder="-1" id="22"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activeTabTopLevelEntity name="[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558F997-A3C7-4150-8647-EC1668C580B8}" name="Weekly Pax" cacheId="1318" applyNumberFormats="0" applyBorderFormats="0" applyFontFormats="0" applyPatternFormats="0" applyAlignmentFormats="0" applyWidthHeightFormats="1" dataCaption="Values" tag="80c09ed4-1b21-45c1-bb5f-f0d94fc0d905" updatedVersion="8" minRefreshableVersion="5" useAutoFormatting="1" subtotalHiddenItems="1" itemPrintTitles="1" createdVersion="5" indent="0" outline="1" outlineData="1" multipleFieldFilters="0" chartFormat="9" rowHeaderCaption="WeekNumber">
  <location ref="A5:C11"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2"/>
  </colFields>
  <colItems count="2">
    <i>
      <x/>
    </i>
    <i i="1">
      <x v="1"/>
    </i>
  </colItems>
  <dataFields count="2">
    <dataField name="Total weekly pax" fld="1" subtotal="count" baseField="0" baseItem="0"/>
    <dataField name="Flight Counts" fld="2"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Flight Counts"/>
    <pivotHierarchy dragToData="1"/>
    <pivotHierarchy dragToData="1"/>
    <pivotHierarchy dragToData="1"/>
    <pivotHierarchy dragToRow="0" dragToCol="0" dragToPage="0" dragToData="1"/>
    <pivotHierarchy dragToRow="0" dragToCol="0" dragToPage="0" dragToData="1"/>
    <pivotHierarchy dragToRow="0" dragToCol="0" dragToPage="0" dragToData="1" caption="Total weekly pax"/>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Equal" evalOrder="-1" id="15"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2026]"/>
        <x15:activeTabTopLevelEntity name="[FltLoadJanuary202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BAF124-502C-4BF5-9C19-6B590F70A887}" name="PivotTable1" cacheId="1321" applyNumberFormats="0" applyBorderFormats="0" applyFontFormats="0" applyPatternFormats="0" applyAlignmentFormats="0" applyWidthHeightFormats="1" dataCaption="Values" tag="2e9a0687-41b2-409b-abd3-01455b8d500b" updatedVersion="8" minRefreshableVersion="5" useAutoFormatting="1" subtotalHiddenItems="1" itemPrintTitles="1" createdVersion="5" indent="0" outline="1" outlineData="1" multipleFieldFilters="0">
  <location ref="A1:C2"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pivotHierarchies count="43">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3" type="dateEqual" evalOrder="-1" id="15" name="[2026].[Date]">
      <autoFilter ref="A1">
        <filterColumn colId="0">
          <customFilters>
            <customFilter val="46023"/>
          </customFilters>
        </filterColumn>
      </autoFilter>
      <extLst>
        <ext xmlns:x15="http://schemas.microsoft.com/office/spreadsheetml/2010/11/main" uri="{0605FD5F-26C8-4aeb-8148-2DB25E43C511}">
          <x15:pivotFilter useWholeDay="1"/>
        </ext>
      </extLst>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ltLoadJanuary2026]"/>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Num" xr10:uid="{134280FD-2B65-4611-950E-4F7FDEE2B43B}" sourceName="[2026].[WeekNum]">
  <pivotTables>
    <pivotTable tabId="6" name="PivotTable6"/>
    <pivotTable tabId="6" name="PaxByOperator"/>
    <pivotTable tabId="6" name="PivotTable1"/>
    <pivotTable tabId="6" name="PivotTable2"/>
    <pivotTable tabId="6" name="TopArrivalRoute"/>
    <pivotTable tabId="6" name="TopDeparture"/>
    <pivotTable tabId="6" name="Weekly Pax"/>
  </pivotTables>
  <data>
    <olap pivotCacheId="1690340079">
      <levels count="2">
        <level uniqueName="[2026].[WeekNum].[(All)]" sourceCaption="(All)" count="0"/>
        <level uniqueName="[2026].[WeekNum].[WeekNum]" sourceCaption="WeekNum" count="5">
          <ranges>
            <range startItem="0">
              <i n="[2026].[WeekNum].&amp;[1.]" c="1"/>
              <i n="[2026].[WeekNum].&amp;[2.]" c="2"/>
              <i n="[2026].[WeekNum].&amp;[3.]" c="3"/>
              <i n="[2026].[WeekNum].&amp;[4.]" c="4"/>
              <i n="[2026].[WeekNum].&amp;[5.]" c="5"/>
            </range>
          </ranges>
        </level>
      </levels>
      <selections count="1">
        <selection n="[2026].[WeekNum].[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Num" xr10:uid="{E570CAC5-F19C-4B1E-B905-5C9FD7AD0B66}" cache="Slicer_WeekNum" caption="WeekNum"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Num 1" xr10:uid="{DAA89D59-0EE3-4326-83DB-13154786B163}" cache="Slicer_WeekNum" caption="WeekNum" level="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8F7A91-9535-4D40-99A1-7159751D468F}" name="FltLoadJanuary2026" displayName="FltLoadJanuary2026" ref="A1:K162" totalsRowCount="1" headerRowDxfId="4">
  <tableColumns count="11">
    <tableColumn id="1" xr3:uid="{2CB6C12B-8B8D-48B7-9FBF-DC95C3AC639D}" name="Operator"/>
    <tableColumn id="2" xr3:uid="{0AFBB68C-13A8-4F9A-8905-35132BFBF580}" name="Arrival From "/>
    <tableColumn id="3" xr3:uid="{8A8E65B9-942A-4457-8D47-3E672241E4C0}" name="A Date" dataDxfId="3" totalsRowDxfId="1"/>
    <tableColumn id="4" xr3:uid="{BA5D1ABB-841F-4243-A1B2-8BE9FC7E98CE}" name="STA"/>
    <tableColumn id="5" xr3:uid="{DFB31AB5-243C-4905-AC9F-EBBA6003B228}" name="Arr.Pax"/>
    <tableColumn id="6" xr3:uid="{847B59F6-A2F0-47C8-AC4E-27FE3E1FD973}" name="DL time"/>
    <tableColumn id="7" xr3:uid="{7929823C-6479-4CE7-8498-9B6447D7A526}" name="Remark"/>
    <tableColumn id="8" xr3:uid="{F1A25F2E-B999-4F1A-945A-59F6D5EEFF2C}" name="Dept. To"/>
    <tableColumn id="9" xr3:uid="{11DB711E-9923-4954-8622-6C2174B39422}" name="D Date" dataDxfId="2" totalsRowDxfId="0"/>
    <tableColumn id="10" xr3:uid="{BB5D23E1-DEE4-4691-9A20-B7EB2F4016A7}" name="PaxInFlight"/>
    <tableColumn id="11" xr3:uid="{5D93DE48-16DA-45E5-83C7-91E18329D172}" name="Dep Remarks" totalsRowFunction="custom">
      <totalsRowFormula>COUNTA(FltLoadJanuary2026[[#Headers],[#Data],[Dep Remarks]])</totalsRow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DF001-F7DD-43C5-ABEA-76EDF367D819}">
  <sheetPr>
    <tabColor rgb="FFFF0000"/>
  </sheetPr>
  <dimension ref="A1:AH161"/>
  <sheetViews>
    <sheetView topLeftCell="A103" workbookViewId="0">
      <selection activeCell="Q7" sqref="Q7"/>
    </sheetView>
  </sheetViews>
  <sheetFormatPr defaultRowHeight="15" x14ac:dyDescent="0.25"/>
  <cols>
    <col min="1" max="1" width="9.140625" customWidth="1"/>
    <col min="5" max="5" width="17.28515625" customWidth="1"/>
    <col min="9" max="9" width="22.140625" customWidth="1"/>
    <col min="10" max="10" width="23.140625" customWidth="1"/>
    <col min="20" max="20" width="18.140625" customWidth="1"/>
    <col min="27" max="27" width="15" customWidth="1"/>
  </cols>
  <sheetData>
    <row r="1" spans="1:34" x14ac:dyDescent="0.25">
      <c r="A1" s="1" t="s">
        <v>0</v>
      </c>
      <c r="B1" s="1" t="s">
        <v>1</v>
      </c>
      <c r="C1" s="1" t="s">
        <v>2</v>
      </c>
      <c r="D1" s="1" t="s">
        <v>3</v>
      </c>
      <c r="E1" s="1" t="s">
        <v>4</v>
      </c>
      <c r="F1" s="1" t="s">
        <v>5</v>
      </c>
      <c r="G1" s="1" t="s">
        <v>6</v>
      </c>
      <c r="H1" s="1" t="s">
        <v>7</v>
      </c>
      <c r="I1" s="1" t="s">
        <v>788</v>
      </c>
      <c r="J1" s="1" t="s">
        <v>8</v>
      </c>
      <c r="K1" s="1" t="s">
        <v>9</v>
      </c>
      <c r="L1" s="1" t="s">
        <v>10</v>
      </c>
      <c r="M1" s="1" t="s">
        <v>11</v>
      </c>
      <c r="N1" s="1" t="s">
        <v>12</v>
      </c>
      <c r="O1" s="1" t="s">
        <v>787</v>
      </c>
      <c r="P1" s="1" t="s">
        <v>13</v>
      </c>
      <c r="Q1" s="1" t="s">
        <v>14</v>
      </c>
      <c r="R1" s="1" t="s">
        <v>15</v>
      </c>
      <c r="T1" s="1" t="s">
        <v>789</v>
      </c>
      <c r="U1" s="1" t="s">
        <v>16</v>
      </c>
      <c r="V1" s="1" t="s">
        <v>17</v>
      </c>
      <c r="W1" s="1" t="s">
        <v>18</v>
      </c>
      <c r="X1" s="1" t="s">
        <v>19</v>
      </c>
      <c r="Y1" s="1" t="s">
        <v>20</v>
      </c>
      <c r="Z1" s="1" t="s">
        <v>21</v>
      </c>
      <c r="AA1" s="1" t="s">
        <v>790</v>
      </c>
      <c r="AB1" s="1" t="s">
        <v>22</v>
      </c>
      <c r="AC1" s="1" t="s">
        <v>23</v>
      </c>
      <c r="AD1" s="1" t="s">
        <v>24</v>
      </c>
      <c r="AE1" s="1" t="s">
        <v>25</v>
      </c>
      <c r="AF1" s="1" t="s">
        <v>26</v>
      </c>
      <c r="AG1" s="1" t="s">
        <v>27</v>
      </c>
      <c r="AH1" s="1" t="s">
        <v>28</v>
      </c>
    </row>
    <row r="2" spans="1:34" x14ac:dyDescent="0.25">
      <c r="A2" t="s">
        <v>356</v>
      </c>
      <c r="B2" t="s">
        <v>63</v>
      </c>
      <c r="C2" t="s">
        <v>30</v>
      </c>
      <c r="D2" t="s">
        <v>30</v>
      </c>
      <c r="E2" t="s">
        <v>144</v>
      </c>
      <c r="F2" t="s">
        <v>29</v>
      </c>
      <c r="G2" t="s">
        <v>31</v>
      </c>
      <c r="H2" t="s">
        <v>127</v>
      </c>
      <c r="I2" t="str">
        <f>_xlfn.CONCAT(A2,"-",H2)</f>
        <v>K6135-SAI</v>
      </c>
      <c r="J2" s="2">
        <v>46023</v>
      </c>
      <c r="K2" t="s">
        <v>250</v>
      </c>
      <c r="L2" t="s">
        <v>29</v>
      </c>
      <c r="M2" t="s">
        <v>737</v>
      </c>
      <c r="N2" t="s">
        <v>738</v>
      </c>
      <c r="O2">
        <v>51</v>
      </c>
      <c r="P2" t="s">
        <v>29</v>
      </c>
      <c r="Q2" t="s">
        <v>85</v>
      </c>
      <c r="R2" t="s">
        <v>70</v>
      </c>
      <c r="S2" t="s">
        <v>71</v>
      </c>
      <c r="T2" t="str">
        <f>_xlfn.CONCAT(R2,"-",S2)</f>
        <v>K6838-SGN</v>
      </c>
      <c r="U2" s="2">
        <v>46023</v>
      </c>
      <c r="V2" t="s">
        <v>234</v>
      </c>
      <c r="W2" t="s">
        <v>40</v>
      </c>
      <c r="X2" t="s">
        <v>739</v>
      </c>
      <c r="Y2" t="s">
        <v>353</v>
      </c>
      <c r="Z2" t="s">
        <v>334</v>
      </c>
      <c r="AA2">
        <f>Z2+1</f>
        <v>50</v>
      </c>
      <c r="AB2" t="s">
        <v>34</v>
      </c>
      <c r="AC2" t="s">
        <v>334</v>
      </c>
      <c r="AD2" t="s">
        <v>173</v>
      </c>
      <c r="AE2" t="s">
        <v>46</v>
      </c>
      <c r="AF2" t="s">
        <v>100</v>
      </c>
      <c r="AG2" t="s">
        <v>29</v>
      </c>
      <c r="AH2" t="s">
        <v>89</v>
      </c>
    </row>
    <row r="3" spans="1:34" x14ac:dyDescent="0.25">
      <c r="A3" t="s">
        <v>170</v>
      </c>
      <c r="B3" t="s">
        <v>102</v>
      </c>
      <c r="C3" t="s">
        <v>30</v>
      </c>
      <c r="D3" t="s">
        <v>30</v>
      </c>
      <c r="E3" t="s">
        <v>551</v>
      </c>
      <c r="F3" t="s">
        <v>29</v>
      </c>
      <c r="G3" t="s">
        <v>552</v>
      </c>
      <c r="H3" t="s">
        <v>172</v>
      </c>
      <c r="I3" t="str">
        <f t="shared" ref="I3:I66" si="0">_xlfn.CONCAT(A3,"-",H3)</f>
        <v>DR5029-KMG</v>
      </c>
      <c r="J3" s="2">
        <v>46023</v>
      </c>
      <c r="K3" t="s">
        <v>174</v>
      </c>
      <c r="L3" t="s">
        <v>175</v>
      </c>
      <c r="M3" t="s">
        <v>468</v>
      </c>
      <c r="N3" t="s">
        <v>740</v>
      </c>
      <c r="O3">
        <v>93</v>
      </c>
      <c r="P3" t="s">
        <v>29</v>
      </c>
      <c r="Q3" t="s">
        <v>85</v>
      </c>
      <c r="R3" t="s">
        <v>178</v>
      </c>
      <c r="S3" t="s">
        <v>172</v>
      </c>
      <c r="T3" t="str">
        <f t="shared" ref="T3:T66" si="1">_xlfn.CONCAT(R3,"-",S3)</f>
        <v>DR5030-KMG</v>
      </c>
      <c r="U3" s="2">
        <v>46023</v>
      </c>
      <c r="V3" t="s">
        <v>179</v>
      </c>
      <c r="W3" t="s">
        <v>741</v>
      </c>
      <c r="X3" t="s">
        <v>742</v>
      </c>
      <c r="Y3" t="s">
        <v>734</v>
      </c>
      <c r="Z3" t="s">
        <v>743</v>
      </c>
      <c r="AA3">
        <f t="shared" ref="AA3:AA66" si="2">Z3+1</f>
        <v>78</v>
      </c>
      <c r="AB3" t="s">
        <v>34</v>
      </c>
      <c r="AC3" t="s">
        <v>743</v>
      </c>
      <c r="AD3" t="s">
        <v>173</v>
      </c>
      <c r="AE3" t="s">
        <v>46</v>
      </c>
      <c r="AF3" t="s">
        <v>100</v>
      </c>
      <c r="AG3" t="s">
        <v>29</v>
      </c>
      <c r="AH3" t="s">
        <v>89</v>
      </c>
    </row>
    <row r="4" spans="1:34" x14ac:dyDescent="0.25">
      <c r="A4" t="s">
        <v>222</v>
      </c>
      <c r="B4" t="s">
        <v>223</v>
      </c>
      <c r="C4" t="s">
        <v>30</v>
      </c>
      <c r="D4" t="s">
        <v>30</v>
      </c>
      <c r="E4" t="s">
        <v>294</v>
      </c>
      <c r="F4" t="s">
        <v>29</v>
      </c>
      <c r="G4" t="s">
        <v>38</v>
      </c>
      <c r="H4" t="s">
        <v>47</v>
      </c>
      <c r="I4" t="str">
        <f t="shared" si="0"/>
        <v>KT174-KUL</v>
      </c>
      <c r="J4" s="2">
        <v>46023</v>
      </c>
      <c r="K4" t="s">
        <v>264</v>
      </c>
      <c r="L4" t="s">
        <v>435</v>
      </c>
      <c r="M4" t="s">
        <v>268</v>
      </c>
      <c r="N4" t="s">
        <v>560</v>
      </c>
      <c r="O4">
        <v>127</v>
      </c>
      <c r="P4" t="s">
        <v>29</v>
      </c>
      <c r="Q4" t="s">
        <v>85</v>
      </c>
      <c r="R4" t="s">
        <v>226</v>
      </c>
      <c r="S4" t="s">
        <v>47</v>
      </c>
      <c r="T4" t="str">
        <f t="shared" si="1"/>
        <v>KT175-KUL</v>
      </c>
      <c r="U4" s="2">
        <v>46023</v>
      </c>
      <c r="V4" t="s">
        <v>227</v>
      </c>
      <c r="W4" t="s">
        <v>603</v>
      </c>
      <c r="X4" t="s">
        <v>544</v>
      </c>
      <c r="Y4" t="s">
        <v>29</v>
      </c>
      <c r="Z4" t="s">
        <v>480</v>
      </c>
      <c r="AA4">
        <f t="shared" si="2"/>
        <v>112</v>
      </c>
      <c r="AB4" t="s">
        <v>34</v>
      </c>
      <c r="AC4" t="s">
        <v>230</v>
      </c>
      <c r="AD4" t="s">
        <v>173</v>
      </c>
      <c r="AE4" t="s">
        <v>46</v>
      </c>
      <c r="AF4" t="s">
        <v>100</v>
      </c>
      <c r="AG4" t="s">
        <v>29</v>
      </c>
      <c r="AH4" t="s">
        <v>89</v>
      </c>
    </row>
    <row r="5" spans="1:34" x14ac:dyDescent="0.25">
      <c r="A5" t="s">
        <v>125</v>
      </c>
      <c r="B5" t="s">
        <v>63</v>
      </c>
      <c r="C5" t="s">
        <v>30</v>
      </c>
      <c r="D5" t="s">
        <v>30</v>
      </c>
      <c r="E5" t="s">
        <v>144</v>
      </c>
      <c r="F5" t="s">
        <v>29</v>
      </c>
      <c r="G5" t="s">
        <v>31</v>
      </c>
      <c r="H5" t="s">
        <v>127</v>
      </c>
      <c r="I5" t="str">
        <f t="shared" si="0"/>
        <v>K6131-SAI</v>
      </c>
      <c r="J5" s="2">
        <v>46023</v>
      </c>
      <c r="K5" t="s">
        <v>128</v>
      </c>
      <c r="L5" t="s">
        <v>428</v>
      </c>
      <c r="M5" t="s">
        <v>336</v>
      </c>
      <c r="N5" t="s">
        <v>475</v>
      </c>
      <c r="O5">
        <v>63</v>
      </c>
      <c r="P5" t="s">
        <v>29</v>
      </c>
      <c r="Q5" t="s">
        <v>85</v>
      </c>
      <c r="R5" t="s">
        <v>131</v>
      </c>
      <c r="S5" t="s">
        <v>127</v>
      </c>
      <c r="T5" t="str">
        <f t="shared" si="1"/>
        <v>K6130-SAI</v>
      </c>
      <c r="U5" s="2">
        <v>46023</v>
      </c>
      <c r="V5" t="s">
        <v>69</v>
      </c>
      <c r="W5" t="s">
        <v>337</v>
      </c>
      <c r="X5" t="s">
        <v>753</v>
      </c>
      <c r="Y5" t="s">
        <v>315</v>
      </c>
      <c r="Z5" t="s">
        <v>315</v>
      </c>
      <c r="AA5">
        <f t="shared" si="2"/>
        <v>49</v>
      </c>
      <c r="AB5" t="s">
        <v>34</v>
      </c>
      <c r="AC5" t="s">
        <v>315</v>
      </c>
      <c r="AD5" t="s">
        <v>173</v>
      </c>
      <c r="AE5" t="s">
        <v>46</v>
      </c>
      <c r="AF5" t="s">
        <v>100</v>
      </c>
      <c r="AG5" t="s">
        <v>29</v>
      </c>
      <c r="AH5" t="s">
        <v>89</v>
      </c>
    </row>
    <row r="6" spans="1:34" x14ac:dyDescent="0.25">
      <c r="A6" t="s">
        <v>757</v>
      </c>
      <c r="B6" t="s">
        <v>51</v>
      </c>
      <c r="C6" t="s">
        <v>42</v>
      </c>
      <c r="D6" t="s">
        <v>42</v>
      </c>
      <c r="E6" t="s">
        <v>610</v>
      </c>
      <c r="F6" t="s">
        <v>29</v>
      </c>
      <c r="G6" t="s">
        <v>43</v>
      </c>
      <c r="H6" t="s">
        <v>44</v>
      </c>
      <c r="I6" t="str">
        <f t="shared" si="0"/>
        <v>GN056-SZB</v>
      </c>
      <c r="J6" s="2">
        <v>46023</v>
      </c>
      <c r="K6" t="s">
        <v>758</v>
      </c>
      <c r="L6" t="s">
        <v>87</v>
      </c>
      <c r="M6" t="s">
        <v>759</v>
      </c>
      <c r="N6" t="s">
        <v>760</v>
      </c>
      <c r="O6">
        <v>14</v>
      </c>
      <c r="P6" t="s">
        <v>29</v>
      </c>
      <c r="Q6" t="s">
        <v>85</v>
      </c>
      <c r="R6" t="s">
        <v>761</v>
      </c>
      <c r="S6" t="s">
        <v>672</v>
      </c>
      <c r="T6" t="str">
        <f t="shared" si="1"/>
        <v>GN057-HKG</v>
      </c>
      <c r="U6" s="2">
        <v>46024</v>
      </c>
      <c r="V6" t="s">
        <v>485</v>
      </c>
      <c r="W6" t="s">
        <v>762</v>
      </c>
      <c r="X6" t="s">
        <v>763</v>
      </c>
      <c r="Y6" t="s">
        <v>29</v>
      </c>
      <c r="Z6" t="s">
        <v>242</v>
      </c>
      <c r="AA6">
        <f t="shared" si="2"/>
        <v>9</v>
      </c>
      <c r="AB6" t="s">
        <v>34</v>
      </c>
      <c r="AC6" t="s">
        <v>242</v>
      </c>
      <c r="AD6" t="s">
        <v>100</v>
      </c>
      <c r="AE6" t="s">
        <v>46</v>
      </c>
      <c r="AF6" t="s">
        <v>29</v>
      </c>
      <c r="AG6" t="s">
        <v>29</v>
      </c>
      <c r="AH6" t="s">
        <v>89</v>
      </c>
    </row>
    <row r="7" spans="1:34" x14ac:dyDescent="0.25">
      <c r="A7" t="s">
        <v>764</v>
      </c>
      <c r="B7" t="s">
        <v>51</v>
      </c>
      <c r="C7" t="s">
        <v>42</v>
      </c>
      <c r="D7" t="s">
        <v>37</v>
      </c>
      <c r="E7" t="s">
        <v>631</v>
      </c>
      <c r="F7" t="s">
        <v>29</v>
      </c>
      <c r="G7" t="s">
        <v>632</v>
      </c>
      <c r="H7" t="s">
        <v>44</v>
      </c>
      <c r="I7" t="str">
        <f t="shared" si="0"/>
        <v>GN054-SZB</v>
      </c>
      <c r="J7" s="2">
        <v>46023</v>
      </c>
      <c r="K7" t="s">
        <v>257</v>
      </c>
      <c r="L7" t="s">
        <v>257</v>
      </c>
      <c r="M7" t="s">
        <v>257</v>
      </c>
      <c r="N7" t="s">
        <v>310</v>
      </c>
      <c r="O7">
        <v>6</v>
      </c>
      <c r="P7" t="s">
        <v>29</v>
      </c>
      <c r="Q7" t="s">
        <v>85</v>
      </c>
      <c r="R7" t="s">
        <v>765</v>
      </c>
      <c r="S7" t="s">
        <v>44</v>
      </c>
      <c r="T7" t="str">
        <f t="shared" si="1"/>
        <v>GN055-SZB</v>
      </c>
      <c r="U7" s="2">
        <v>46024</v>
      </c>
      <c r="V7" t="s">
        <v>261</v>
      </c>
      <c r="W7" t="s">
        <v>766</v>
      </c>
      <c r="X7" t="s">
        <v>767</v>
      </c>
      <c r="Y7" t="s">
        <v>29</v>
      </c>
      <c r="Z7" t="s">
        <v>34</v>
      </c>
      <c r="AA7">
        <f t="shared" si="2"/>
        <v>1</v>
      </c>
      <c r="AB7" t="s">
        <v>29</v>
      </c>
      <c r="AC7" t="s">
        <v>29</v>
      </c>
      <c r="AD7" t="s">
        <v>136</v>
      </c>
      <c r="AE7" t="s">
        <v>46</v>
      </c>
      <c r="AF7" t="s">
        <v>29</v>
      </c>
      <c r="AG7" t="s">
        <v>29</v>
      </c>
      <c r="AH7" t="s">
        <v>89</v>
      </c>
    </row>
    <row r="8" spans="1:34" x14ac:dyDescent="0.25">
      <c r="A8" t="s">
        <v>72</v>
      </c>
      <c r="B8" t="s">
        <v>63</v>
      </c>
      <c r="C8" t="s">
        <v>30</v>
      </c>
      <c r="D8" t="s">
        <v>30</v>
      </c>
      <c r="E8" t="s">
        <v>154</v>
      </c>
      <c r="F8" t="s">
        <v>29</v>
      </c>
      <c r="G8" t="s">
        <v>64</v>
      </c>
      <c r="H8" t="s">
        <v>71</v>
      </c>
      <c r="I8" t="str">
        <f t="shared" si="0"/>
        <v>K6839-SGN</v>
      </c>
      <c r="J8" s="2">
        <v>46023</v>
      </c>
      <c r="K8" t="s">
        <v>48</v>
      </c>
      <c r="L8" t="s">
        <v>273</v>
      </c>
      <c r="M8" t="s">
        <v>747</v>
      </c>
      <c r="N8" t="s">
        <v>768</v>
      </c>
      <c r="O8">
        <v>103</v>
      </c>
      <c r="P8" t="s">
        <v>29</v>
      </c>
      <c r="Q8" t="s">
        <v>85</v>
      </c>
      <c r="R8" t="s">
        <v>32</v>
      </c>
      <c r="S8" t="s">
        <v>33</v>
      </c>
      <c r="T8" t="str">
        <f t="shared" si="1"/>
        <v>K6930-SZX</v>
      </c>
      <c r="U8" s="2">
        <v>46023</v>
      </c>
      <c r="V8" t="s">
        <v>158</v>
      </c>
      <c r="W8" t="s">
        <v>735</v>
      </c>
      <c r="X8" t="s">
        <v>147</v>
      </c>
      <c r="Y8" t="s">
        <v>769</v>
      </c>
      <c r="Z8" t="s">
        <v>229</v>
      </c>
      <c r="AA8">
        <f t="shared" si="2"/>
        <v>127</v>
      </c>
      <c r="AB8" t="s">
        <v>34</v>
      </c>
      <c r="AC8" t="s">
        <v>229</v>
      </c>
      <c r="AD8" t="s">
        <v>90</v>
      </c>
      <c r="AE8" t="s">
        <v>46</v>
      </c>
      <c r="AF8" t="s">
        <v>100</v>
      </c>
      <c r="AG8" t="s">
        <v>29</v>
      </c>
      <c r="AH8" t="s">
        <v>89</v>
      </c>
    </row>
    <row r="9" spans="1:34" x14ac:dyDescent="0.25">
      <c r="A9" t="s">
        <v>143</v>
      </c>
      <c r="B9" t="s">
        <v>63</v>
      </c>
      <c r="C9" t="s">
        <v>30</v>
      </c>
      <c r="D9" t="s">
        <v>30</v>
      </c>
      <c r="E9" t="s">
        <v>779</v>
      </c>
      <c r="F9" t="s">
        <v>29</v>
      </c>
      <c r="G9" t="s">
        <v>31</v>
      </c>
      <c r="H9" t="s">
        <v>127</v>
      </c>
      <c r="I9" t="str">
        <f t="shared" si="0"/>
        <v>K6133-SAI</v>
      </c>
      <c r="J9" s="2">
        <v>46023</v>
      </c>
      <c r="K9" t="s">
        <v>164</v>
      </c>
      <c r="L9" t="s">
        <v>29</v>
      </c>
      <c r="M9" t="s">
        <v>589</v>
      </c>
      <c r="N9" t="s">
        <v>550</v>
      </c>
      <c r="O9">
        <v>37</v>
      </c>
      <c r="P9" t="s">
        <v>29</v>
      </c>
      <c r="Q9" t="s">
        <v>85</v>
      </c>
      <c r="R9" t="s">
        <v>149</v>
      </c>
      <c r="S9" t="s">
        <v>127</v>
      </c>
      <c r="T9" t="str">
        <f t="shared" si="1"/>
        <v>K6132-SAI</v>
      </c>
      <c r="U9" s="2">
        <v>46023</v>
      </c>
      <c r="V9" t="s">
        <v>167</v>
      </c>
      <c r="W9" t="s">
        <v>784</v>
      </c>
      <c r="X9" t="s">
        <v>785</v>
      </c>
      <c r="Y9" t="s">
        <v>532</v>
      </c>
      <c r="Z9" t="s">
        <v>460</v>
      </c>
      <c r="AA9">
        <f t="shared" si="2"/>
        <v>53</v>
      </c>
      <c r="AB9" t="s">
        <v>34</v>
      </c>
      <c r="AC9" t="s">
        <v>460</v>
      </c>
      <c r="AD9" t="s">
        <v>173</v>
      </c>
      <c r="AE9" t="s">
        <v>46</v>
      </c>
      <c r="AF9" t="s">
        <v>100</v>
      </c>
      <c r="AG9" t="s">
        <v>29</v>
      </c>
      <c r="AH9" t="s">
        <v>89</v>
      </c>
    </row>
    <row r="10" spans="1:34" x14ac:dyDescent="0.25">
      <c r="A10" t="s">
        <v>188</v>
      </c>
      <c r="B10" t="s">
        <v>189</v>
      </c>
      <c r="C10" t="s">
        <v>30</v>
      </c>
      <c r="D10" t="s">
        <v>30</v>
      </c>
      <c r="E10" t="s">
        <v>754</v>
      </c>
      <c r="F10" t="s">
        <v>29</v>
      </c>
      <c r="G10" t="s">
        <v>38</v>
      </c>
      <c r="H10" t="s">
        <v>47</v>
      </c>
      <c r="I10" t="str">
        <f t="shared" si="0"/>
        <v>AK264-KUL</v>
      </c>
      <c r="J10" s="2">
        <v>46024</v>
      </c>
      <c r="K10" t="s">
        <v>205</v>
      </c>
      <c r="L10" t="s">
        <v>45</v>
      </c>
      <c r="M10" t="s">
        <v>574</v>
      </c>
      <c r="N10" t="s">
        <v>200</v>
      </c>
      <c r="O10">
        <v>149</v>
      </c>
      <c r="P10" t="s">
        <v>29</v>
      </c>
      <c r="Q10" t="s">
        <v>85</v>
      </c>
      <c r="R10" t="s">
        <v>195</v>
      </c>
      <c r="S10" t="s">
        <v>47</v>
      </c>
      <c r="T10" t="str">
        <f t="shared" si="1"/>
        <v>AK265-KUL</v>
      </c>
      <c r="U10" s="2">
        <v>46024</v>
      </c>
      <c r="V10" t="s">
        <v>215</v>
      </c>
      <c r="W10" t="s">
        <v>582</v>
      </c>
      <c r="X10" t="s">
        <v>755</v>
      </c>
      <c r="Y10" t="s">
        <v>29</v>
      </c>
      <c r="Z10" t="s">
        <v>161</v>
      </c>
      <c r="AA10">
        <f t="shared" si="2"/>
        <v>153</v>
      </c>
      <c r="AB10" t="s">
        <v>34</v>
      </c>
      <c r="AC10" t="s">
        <v>161</v>
      </c>
      <c r="AD10" t="s">
        <v>173</v>
      </c>
      <c r="AE10" t="s">
        <v>46</v>
      </c>
      <c r="AF10" t="s">
        <v>114</v>
      </c>
      <c r="AG10" t="s">
        <v>29</v>
      </c>
      <c r="AH10" t="s">
        <v>89</v>
      </c>
    </row>
    <row r="11" spans="1:34" x14ac:dyDescent="0.25">
      <c r="A11" t="s">
        <v>125</v>
      </c>
      <c r="B11" t="s">
        <v>63</v>
      </c>
      <c r="C11" t="s">
        <v>30</v>
      </c>
      <c r="D11" t="s">
        <v>30</v>
      </c>
      <c r="E11" t="s">
        <v>144</v>
      </c>
      <c r="F11" t="s">
        <v>29</v>
      </c>
      <c r="G11" t="s">
        <v>31</v>
      </c>
      <c r="H11" t="s">
        <v>127</v>
      </c>
      <c r="I11" t="str">
        <f t="shared" si="0"/>
        <v>K6131-SAI</v>
      </c>
      <c r="J11" s="2">
        <v>46024</v>
      </c>
      <c r="K11" t="s">
        <v>481</v>
      </c>
      <c r="L11" t="s">
        <v>193</v>
      </c>
      <c r="M11" t="s">
        <v>524</v>
      </c>
      <c r="N11" t="s">
        <v>193</v>
      </c>
      <c r="O11">
        <v>69</v>
      </c>
      <c r="P11" t="s">
        <v>29</v>
      </c>
      <c r="Q11" t="s">
        <v>85</v>
      </c>
      <c r="R11" t="s">
        <v>131</v>
      </c>
      <c r="S11" t="s">
        <v>127</v>
      </c>
      <c r="T11" t="str">
        <f t="shared" si="1"/>
        <v>K6130-SAI</v>
      </c>
      <c r="U11" s="2">
        <v>46024</v>
      </c>
      <c r="V11" t="s">
        <v>133</v>
      </c>
      <c r="W11" t="s">
        <v>585</v>
      </c>
      <c r="X11" t="s">
        <v>586</v>
      </c>
      <c r="Y11" t="s">
        <v>367</v>
      </c>
      <c r="Z11" t="s">
        <v>319</v>
      </c>
      <c r="AA11">
        <f t="shared" si="2"/>
        <v>71</v>
      </c>
      <c r="AB11" t="s">
        <v>34</v>
      </c>
      <c r="AC11" t="s">
        <v>319</v>
      </c>
      <c r="AD11" t="s">
        <v>114</v>
      </c>
      <c r="AE11" t="s">
        <v>46</v>
      </c>
      <c r="AF11" t="s">
        <v>136</v>
      </c>
      <c r="AG11" t="s">
        <v>29</v>
      </c>
      <c r="AH11" t="s">
        <v>89</v>
      </c>
    </row>
    <row r="12" spans="1:34" x14ac:dyDescent="0.25">
      <c r="A12" t="s">
        <v>62</v>
      </c>
      <c r="B12" t="s">
        <v>63</v>
      </c>
      <c r="C12" t="s">
        <v>30</v>
      </c>
      <c r="D12" t="s">
        <v>30</v>
      </c>
      <c r="E12" t="s">
        <v>154</v>
      </c>
      <c r="F12" t="s">
        <v>29</v>
      </c>
      <c r="G12" t="s">
        <v>64</v>
      </c>
      <c r="H12" t="s">
        <v>33</v>
      </c>
      <c r="I12" t="str">
        <f t="shared" si="0"/>
        <v>K6931-SZX</v>
      </c>
      <c r="J12" s="2">
        <v>46024</v>
      </c>
      <c r="K12" t="s">
        <v>65</v>
      </c>
      <c r="L12" t="s">
        <v>411</v>
      </c>
      <c r="M12" t="s">
        <v>777</v>
      </c>
      <c r="N12" t="s">
        <v>417</v>
      </c>
      <c r="O12">
        <v>151</v>
      </c>
      <c r="P12" t="s">
        <v>29</v>
      </c>
      <c r="Q12" t="s">
        <v>85</v>
      </c>
      <c r="R12" t="s">
        <v>70</v>
      </c>
      <c r="S12" t="s">
        <v>71</v>
      </c>
      <c r="T12" t="str">
        <f t="shared" si="1"/>
        <v>K6838-SGN</v>
      </c>
      <c r="U12" s="2">
        <v>46024</v>
      </c>
      <c r="V12" t="s">
        <v>255</v>
      </c>
      <c r="W12" t="s">
        <v>260</v>
      </c>
      <c r="X12" t="s">
        <v>778</v>
      </c>
      <c r="Y12" t="s">
        <v>235</v>
      </c>
      <c r="Z12" t="s">
        <v>499</v>
      </c>
      <c r="AA12">
        <f t="shared" si="2"/>
        <v>87</v>
      </c>
      <c r="AB12" t="s">
        <v>34</v>
      </c>
      <c r="AC12" t="s">
        <v>734</v>
      </c>
      <c r="AD12" t="s">
        <v>173</v>
      </c>
      <c r="AE12" t="s">
        <v>46</v>
      </c>
      <c r="AF12" t="s">
        <v>100</v>
      </c>
      <c r="AG12" t="s">
        <v>29</v>
      </c>
      <c r="AH12" t="s">
        <v>89</v>
      </c>
    </row>
    <row r="13" spans="1:34" x14ac:dyDescent="0.25">
      <c r="A13" t="s">
        <v>143</v>
      </c>
      <c r="B13" t="s">
        <v>63</v>
      </c>
      <c r="C13" t="s">
        <v>30</v>
      </c>
      <c r="D13" t="s">
        <v>30</v>
      </c>
      <c r="E13" t="s">
        <v>144</v>
      </c>
      <c r="F13" t="s">
        <v>29</v>
      </c>
      <c r="G13" t="s">
        <v>31</v>
      </c>
      <c r="H13" t="s">
        <v>127</v>
      </c>
      <c r="I13" t="str">
        <f t="shared" si="0"/>
        <v>K6133-SAI</v>
      </c>
      <c r="J13" s="2">
        <v>46024</v>
      </c>
      <c r="K13" t="s">
        <v>142</v>
      </c>
      <c r="L13" t="s">
        <v>782</v>
      </c>
      <c r="M13" t="s">
        <v>783</v>
      </c>
      <c r="N13" t="s">
        <v>478</v>
      </c>
      <c r="O13">
        <v>67</v>
      </c>
      <c r="P13" t="s">
        <v>29</v>
      </c>
      <c r="Q13" t="s">
        <v>85</v>
      </c>
      <c r="R13" t="s">
        <v>149</v>
      </c>
      <c r="S13" t="s">
        <v>127</v>
      </c>
      <c r="T13" t="str">
        <f t="shared" si="1"/>
        <v>K6132-SAI</v>
      </c>
      <c r="U13" s="2">
        <v>46024</v>
      </c>
      <c r="V13" t="s">
        <v>59</v>
      </c>
      <c r="W13" t="s">
        <v>59</v>
      </c>
      <c r="X13" t="s">
        <v>486</v>
      </c>
      <c r="Y13" t="s">
        <v>187</v>
      </c>
      <c r="Z13" t="s">
        <v>460</v>
      </c>
      <c r="AA13">
        <f t="shared" si="2"/>
        <v>53</v>
      </c>
      <c r="AB13" t="s">
        <v>34</v>
      </c>
      <c r="AC13" t="s">
        <v>460</v>
      </c>
      <c r="AD13" t="s">
        <v>173</v>
      </c>
      <c r="AE13" t="s">
        <v>46</v>
      </c>
      <c r="AF13" t="s">
        <v>100</v>
      </c>
      <c r="AG13" t="s">
        <v>29</v>
      </c>
      <c r="AH13" t="s">
        <v>89</v>
      </c>
    </row>
    <row r="14" spans="1:34" x14ac:dyDescent="0.25">
      <c r="A14" t="s">
        <v>170</v>
      </c>
      <c r="B14" t="s">
        <v>102</v>
      </c>
      <c r="C14" t="s">
        <v>30</v>
      </c>
      <c r="D14" t="s">
        <v>30</v>
      </c>
      <c r="E14" t="s">
        <v>271</v>
      </c>
      <c r="F14" t="s">
        <v>29</v>
      </c>
      <c r="G14" t="s">
        <v>104</v>
      </c>
      <c r="H14" t="s">
        <v>172</v>
      </c>
      <c r="I14" t="str">
        <f t="shared" si="0"/>
        <v>DR5029-KMG</v>
      </c>
      <c r="J14" s="2">
        <v>46025</v>
      </c>
      <c r="K14" t="s">
        <v>174</v>
      </c>
      <c r="L14" t="s">
        <v>506</v>
      </c>
      <c r="M14" t="s">
        <v>747</v>
      </c>
      <c r="N14" t="s">
        <v>326</v>
      </c>
      <c r="O14">
        <v>126</v>
      </c>
      <c r="P14" t="s">
        <v>29</v>
      </c>
      <c r="Q14" t="s">
        <v>85</v>
      </c>
      <c r="R14" t="s">
        <v>178</v>
      </c>
      <c r="S14" t="s">
        <v>172</v>
      </c>
      <c r="T14" t="str">
        <f t="shared" si="1"/>
        <v>DR5030-KMG</v>
      </c>
      <c r="U14" s="2">
        <v>46025</v>
      </c>
      <c r="V14" t="s">
        <v>179</v>
      </c>
      <c r="W14" t="s">
        <v>748</v>
      </c>
      <c r="X14" t="s">
        <v>179</v>
      </c>
      <c r="Y14" t="s">
        <v>734</v>
      </c>
      <c r="Z14" t="s">
        <v>749</v>
      </c>
      <c r="AA14">
        <f t="shared" si="2"/>
        <v>79</v>
      </c>
      <c r="AB14" t="s">
        <v>34</v>
      </c>
      <c r="AC14" t="s">
        <v>749</v>
      </c>
      <c r="AD14" t="s">
        <v>173</v>
      </c>
      <c r="AE14" t="s">
        <v>46</v>
      </c>
      <c r="AF14" t="s">
        <v>100</v>
      </c>
      <c r="AG14" t="s">
        <v>29</v>
      </c>
      <c r="AH14" t="s">
        <v>89</v>
      </c>
    </row>
    <row r="15" spans="1:34" x14ac:dyDescent="0.25">
      <c r="A15" t="s">
        <v>222</v>
      </c>
      <c r="B15" t="s">
        <v>223</v>
      </c>
      <c r="C15" t="s">
        <v>30</v>
      </c>
      <c r="D15" t="s">
        <v>30</v>
      </c>
      <c r="E15" t="s">
        <v>294</v>
      </c>
      <c r="F15" t="s">
        <v>29</v>
      </c>
      <c r="G15" t="s">
        <v>38</v>
      </c>
      <c r="H15" t="s">
        <v>47</v>
      </c>
      <c r="I15" t="str">
        <f t="shared" si="0"/>
        <v>KT174-KUL</v>
      </c>
      <c r="J15" s="2">
        <v>46025</v>
      </c>
      <c r="K15" t="s">
        <v>264</v>
      </c>
      <c r="L15" t="s">
        <v>29</v>
      </c>
      <c r="M15" t="s">
        <v>750</v>
      </c>
      <c r="N15" t="s">
        <v>561</v>
      </c>
      <c r="O15">
        <v>140</v>
      </c>
      <c r="P15" t="s">
        <v>29</v>
      </c>
      <c r="Q15" t="s">
        <v>85</v>
      </c>
      <c r="R15" t="s">
        <v>226</v>
      </c>
      <c r="S15" t="s">
        <v>47</v>
      </c>
      <c r="T15" t="str">
        <f t="shared" si="1"/>
        <v>KT175-KUL</v>
      </c>
      <c r="U15" s="2">
        <v>46025</v>
      </c>
      <c r="V15" t="s">
        <v>227</v>
      </c>
      <c r="W15" t="s">
        <v>436</v>
      </c>
      <c r="X15" t="s">
        <v>515</v>
      </c>
      <c r="Y15" t="s">
        <v>497</v>
      </c>
      <c r="Z15" t="s">
        <v>751</v>
      </c>
      <c r="AA15">
        <f t="shared" si="2"/>
        <v>140</v>
      </c>
      <c r="AB15" t="s">
        <v>34</v>
      </c>
      <c r="AC15" t="s">
        <v>751</v>
      </c>
      <c r="AD15" t="s">
        <v>173</v>
      </c>
      <c r="AE15" t="s">
        <v>46</v>
      </c>
      <c r="AF15" t="s">
        <v>114</v>
      </c>
      <c r="AG15" t="s">
        <v>29</v>
      </c>
      <c r="AH15" t="s">
        <v>89</v>
      </c>
    </row>
    <row r="16" spans="1:34" x14ac:dyDescent="0.25">
      <c r="A16" t="s">
        <v>125</v>
      </c>
      <c r="B16" t="s">
        <v>63</v>
      </c>
      <c r="C16" t="s">
        <v>30</v>
      </c>
      <c r="D16" t="s">
        <v>30</v>
      </c>
      <c r="E16" t="s">
        <v>733</v>
      </c>
      <c r="F16" t="s">
        <v>29</v>
      </c>
      <c r="G16" t="s">
        <v>38</v>
      </c>
      <c r="H16" t="s">
        <v>127</v>
      </c>
      <c r="I16" t="str">
        <f t="shared" si="0"/>
        <v>K6131-SAI</v>
      </c>
      <c r="J16" s="2">
        <v>46025</v>
      </c>
      <c r="K16" t="s">
        <v>317</v>
      </c>
      <c r="L16" t="s">
        <v>29</v>
      </c>
      <c r="M16" t="s">
        <v>527</v>
      </c>
      <c r="N16" t="s">
        <v>545</v>
      </c>
      <c r="O16">
        <v>158</v>
      </c>
      <c r="P16" t="s">
        <v>29</v>
      </c>
      <c r="Q16" t="s">
        <v>85</v>
      </c>
      <c r="R16" t="s">
        <v>131</v>
      </c>
      <c r="S16" t="s">
        <v>127</v>
      </c>
      <c r="T16" t="str">
        <f t="shared" si="1"/>
        <v>K6130-SAI</v>
      </c>
      <c r="U16" s="2">
        <v>46025</v>
      </c>
      <c r="V16" t="s">
        <v>560</v>
      </c>
      <c r="W16" t="s">
        <v>603</v>
      </c>
      <c r="X16" t="s">
        <v>514</v>
      </c>
      <c r="Y16" t="s">
        <v>499</v>
      </c>
      <c r="Z16" t="s">
        <v>734</v>
      </c>
      <c r="AA16">
        <f t="shared" si="2"/>
        <v>86</v>
      </c>
      <c r="AB16" t="s">
        <v>34</v>
      </c>
      <c r="AC16" t="s">
        <v>734</v>
      </c>
      <c r="AD16" t="s">
        <v>114</v>
      </c>
      <c r="AE16" t="s">
        <v>46</v>
      </c>
      <c r="AF16" t="s">
        <v>100</v>
      </c>
      <c r="AG16" t="s">
        <v>29</v>
      </c>
      <c r="AH16" t="s">
        <v>89</v>
      </c>
    </row>
    <row r="17" spans="1:34" x14ac:dyDescent="0.25">
      <c r="A17" t="s">
        <v>72</v>
      </c>
      <c r="B17" t="s">
        <v>63</v>
      </c>
      <c r="C17" t="s">
        <v>30</v>
      </c>
      <c r="D17" t="s">
        <v>30</v>
      </c>
      <c r="E17" t="s">
        <v>144</v>
      </c>
      <c r="F17" t="s">
        <v>29</v>
      </c>
      <c r="G17" t="s">
        <v>31</v>
      </c>
      <c r="H17" t="s">
        <v>71</v>
      </c>
      <c r="I17" t="str">
        <f t="shared" si="0"/>
        <v>K6839-SGN</v>
      </c>
      <c r="J17" s="2">
        <v>46025</v>
      </c>
      <c r="K17" t="s">
        <v>312</v>
      </c>
      <c r="L17" t="s">
        <v>517</v>
      </c>
      <c r="M17" t="s">
        <v>518</v>
      </c>
      <c r="N17" t="s">
        <v>773</v>
      </c>
      <c r="O17">
        <v>70</v>
      </c>
      <c r="P17" t="s">
        <v>29</v>
      </c>
      <c r="Q17" t="s">
        <v>85</v>
      </c>
      <c r="R17" t="s">
        <v>70</v>
      </c>
      <c r="S17" t="s">
        <v>71</v>
      </c>
      <c r="T17" t="str">
        <f t="shared" si="1"/>
        <v>K6838-SGN</v>
      </c>
      <c r="U17" s="2">
        <v>46025</v>
      </c>
      <c r="V17" t="s">
        <v>316</v>
      </c>
      <c r="W17" t="s">
        <v>566</v>
      </c>
      <c r="X17" t="s">
        <v>462</v>
      </c>
      <c r="Y17" t="s">
        <v>320</v>
      </c>
      <c r="Z17" t="s">
        <v>275</v>
      </c>
      <c r="AA17">
        <f t="shared" si="2"/>
        <v>67</v>
      </c>
      <c r="AB17" t="s">
        <v>34</v>
      </c>
      <c r="AC17" t="s">
        <v>275</v>
      </c>
      <c r="AD17" t="s">
        <v>173</v>
      </c>
      <c r="AE17" t="s">
        <v>46</v>
      </c>
      <c r="AF17" t="s">
        <v>100</v>
      </c>
      <c r="AG17" t="s">
        <v>29</v>
      </c>
      <c r="AH17" t="s">
        <v>89</v>
      </c>
    </row>
    <row r="18" spans="1:34" x14ac:dyDescent="0.25">
      <c r="A18" t="s">
        <v>125</v>
      </c>
      <c r="B18" t="s">
        <v>63</v>
      </c>
      <c r="C18" t="s">
        <v>30</v>
      </c>
      <c r="D18" t="s">
        <v>30</v>
      </c>
      <c r="E18" t="s">
        <v>733</v>
      </c>
      <c r="F18" t="s">
        <v>29</v>
      </c>
      <c r="G18" t="s">
        <v>38</v>
      </c>
      <c r="H18" t="s">
        <v>127</v>
      </c>
      <c r="I18" t="str">
        <f t="shared" si="0"/>
        <v>K6131-SAI</v>
      </c>
      <c r="J18" s="2">
        <v>46026</v>
      </c>
      <c r="K18" t="s">
        <v>317</v>
      </c>
      <c r="L18" t="s">
        <v>736</v>
      </c>
      <c r="M18" t="s">
        <v>377</v>
      </c>
      <c r="N18" t="s">
        <v>736</v>
      </c>
      <c r="O18">
        <v>151</v>
      </c>
      <c r="P18" t="s">
        <v>29</v>
      </c>
      <c r="Q18" t="s">
        <v>85</v>
      </c>
      <c r="R18" t="s">
        <v>131</v>
      </c>
      <c r="S18" t="s">
        <v>127</v>
      </c>
      <c r="T18" t="str">
        <f t="shared" si="1"/>
        <v>K6130-SAI</v>
      </c>
      <c r="U18" s="2">
        <v>46026</v>
      </c>
      <c r="V18" t="s">
        <v>560</v>
      </c>
      <c r="W18" t="s">
        <v>384</v>
      </c>
      <c r="X18" t="s">
        <v>120</v>
      </c>
      <c r="Y18" t="s">
        <v>202</v>
      </c>
      <c r="Z18" t="s">
        <v>229</v>
      </c>
      <c r="AA18">
        <f t="shared" si="2"/>
        <v>127</v>
      </c>
      <c r="AB18" t="s">
        <v>34</v>
      </c>
      <c r="AC18" t="s">
        <v>229</v>
      </c>
      <c r="AD18" t="s">
        <v>114</v>
      </c>
      <c r="AE18" t="s">
        <v>46</v>
      </c>
      <c r="AF18" t="s">
        <v>114</v>
      </c>
      <c r="AG18" t="s">
        <v>29</v>
      </c>
      <c r="AH18" t="s">
        <v>89</v>
      </c>
    </row>
    <row r="19" spans="1:34" x14ac:dyDescent="0.25">
      <c r="A19" t="s">
        <v>188</v>
      </c>
      <c r="B19" t="s">
        <v>189</v>
      </c>
      <c r="C19" t="s">
        <v>30</v>
      </c>
      <c r="D19" t="s">
        <v>30</v>
      </c>
      <c r="E19" t="s">
        <v>725</v>
      </c>
      <c r="F19" t="s">
        <v>29</v>
      </c>
      <c r="G19" t="s">
        <v>286</v>
      </c>
      <c r="H19" t="s">
        <v>47</v>
      </c>
      <c r="I19" t="str">
        <f t="shared" si="0"/>
        <v>AK264-KUL</v>
      </c>
      <c r="J19" s="2">
        <v>46026</v>
      </c>
      <c r="K19" t="s">
        <v>205</v>
      </c>
      <c r="L19" t="s">
        <v>528</v>
      </c>
      <c r="M19" t="s">
        <v>528</v>
      </c>
      <c r="N19" t="s">
        <v>430</v>
      </c>
      <c r="O19">
        <v>167</v>
      </c>
      <c r="P19" t="s">
        <v>29</v>
      </c>
      <c r="Q19" t="s">
        <v>85</v>
      </c>
      <c r="R19" t="s">
        <v>195</v>
      </c>
      <c r="S19" t="s">
        <v>47</v>
      </c>
      <c r="T19" t="str">
        <f t="shared" si="1"/>
        <v>AK265-KUL</v>
      </c>
      <c r="U19" s="2">
        <v>46026</v>
      </c>
      <c r="V19" t="s">
        <v>215</v>
      </c>
      <c r="W19" t="s">
        <v>578</v>
      </c>
      <c r="X19" t="s">
        <v>203</v>
      </c>
      <c r="Y19" t="s">
        <v>29</v>
      </c>
      <c r="Z19" t="s">
        <v>523</v>
      </c>
      <c r="AA19">
        <f t="shared" si="2"/>
        <v>143</v>
      </c>
      <c r="AB19" t="s">
        <v>34</v>
      </c>
      <c r="AC19" t="s">
        <v>194</v>
      </c>
      <c r="AD19" t="s">
        <v>173</v>
      </c>
      <c r="AE19" t="s">
        <v>46</v>
      </c>
      <c r="AF19" t="s">
        <v>100</v>
      </c>
      <c r="AG19" t="s">
        <v>29</v>
      </c>
      <c r="AH19" t="s">
        <v>89</v>
      </c>
    </row>
    <row r="20" spans="1:34" x14ac:dyDescent="0.25">
      <c r="A20" t="s">
        <v>72</v>
      </c>
      <c r="B20" t="s">
        <v>63</v>
      </c>
      <c r="C20" t="s">
        <v>30</v>
      </c>
      <c r="D20" t="s">
        <v>30</v>
      </c>
      <c r="E20" t="s">
        <v>144</v>
      </c>
      <c r="F20" t="s">
        <v>29</v>
      </c>
      <c r="G20" t="s">
        <v>31</v>
      </c>
      <c r="H20" t="s">
        <v>71</v>
      </c>
      <c r="I20" t="str">
        <f t="shared" si="0"/>
        <v>K6839-SGN</v>
      </c>
      <c r="J20" s="2">
        <v>46026</v>
      </c>
      <c r="K20" t="s">
        <v>312</v>
      </c>
      <c r="L20" t="s">
        <v>359</v>
      </c>
      <c r="M20" t="s">
        <v>772</v>
      </c>
      <c r="N20" t="s">
        <v>519</v>
      </c>
      <c r="O20">
        <v>59</v>
      </c>
      <c r="P20" t="s">
        <v>29</v>
      </c>
      <c r="Q20" t="s">
        <v>85</v>
      </c>
      <c r="R20" t="s">
        <v>70</v>
      </c>
      <c r="S20" t="s">
        <v>71</v>
      </c>
      <c r="T20" t="str">
        <f t="shared" si="1"/>
        <v>K6838-SGN</v>
      </c>
      <c r="U20" s="2">
        <v>46026</v>
      </c>
      <c r="V20" t="s">
        <v>316</v>
      </c>
      <c r="W20" t="s">
        <v>106</v>
      </c>
      <c r="X20" t="s">
        <v>525</v>
      </c>
      <c r="Y20" t="s">
        <v>315</v>
      </c>
      <c r="Z20" t="s">
        <v>148</v>
      </c>
      <c r="AA20">
        <f t="shared" si="2"/>
        <v>47</v>
      </c>
      <c r="AB20" t="s">
        <v>34</v>
      </c>
      <c r="AC20" t="s">
        <v>148</v>
      </c>
      <c r="AD20" t="s">
        <v>90</v>
      </c>
      <c r="AE20" t="s">
        <v>46</v>
      </c>
      <c r="AF20" t="s">
        <v>100</v>
      </c>
      <c r="AG20" t="s">
        <v>29</v>
      </c>
      <c r="AH20" t="s">
        <v>89</v>
      </c>
    </row>
    <row r="21" spans="1:34" x14ac:dyDescent="0.25">
      <c r="A21" t="s">
        <v>101</v>
      </c>
      <c r="B21" t="s">
        <v>102</v>
      </c>
      <c r="C21" t="s">
        <v>30</v>
      </c>
      <c r="D21" t="s">
        <v>30</v>
      </c>
      <c r="E21" t="s">
        <v>103</v>
      </c>
      <c r="F21" t="s">
        <v>29</v>
      </c>
      <c r="G21" t="s">
        <v>104</v>
      </c>
      <c r="H21" t="s">
        <v>105</v>
      </c>
      <c r="I21" t="str">
        <f t="shared" si="0"/>
        <v>DR5031-WUX</v>
      </c>
      <c r="J21" s="2">
        <v>46026</v>
      </c>
      <c r="K21" t="s">
        <v>106</v>
      </c>
      <c r="L21" t="s">
        <v>318</v>
      </c>
      <c r="M21" t="s">
        <v>210</v>
      </c>
      <c r="N21" t="s">
        <v>516</v>
      </c>
      <c r="O21">
        <v>91</v>
      </c>
      <c r="P21" t="s">
        <v>29</v>
      </c>
      <c r="Q21" t="s">
        <v>85</v>
      </c>
      <c r="R21" t="s">
        <v>110</v>
      </c>
      <c r="S21" t="s">
        <v>105</v>
      </c>
      <c r="T21" t="str">
        <f t="shared" si="1"/>
        <v>DR5032-WUX</v>
      </c>
      <c r="U21" s="2">
        <v>46026</v>
      </c>
      <c r="V21" t="s">
        <v>111</v>
      </c>
      <c r="W21" t="s">
        <v>227</v>
      </c>
      <c r="X21" t="s">
        <v>580</v>
      </c>
      <c r="Y21" t="s">
        <v>645</v>
      </c>
      <c r="Z21" t="s">
        <v>344</v>
      </c>
      <c r="AA21">
        <f t="shared" si="2"/>
        <v>102</v>
      </c>
      <c r="AB21" t="s">
        <v>34</v>
      </c>
      <c r="AC21" t="s">
        <v>774</v>
      </c>
      <c r="AD21" t="s">
        <v>173</v>
      </c>
      <c r="AE21" t="s">
        <v>46</v>
      </c>
      <c r="AF21" t="s">
        <v>136</v>
      </c>
      <c r="AG21" t="s">
        <v>29</v>
      </c>
      <c r="AH21" t="s">
        <v>89</v>
      </c>
    </row>
    <row r="22" spans="1:34" x14ac:dyDescent="0.25">
      <c r="A22" t="s">
        <v>356</v>
      </c>
      <c r="B22" t="s">
        <v>63</v>
      </c>
      <c r="C22" t="s">
        <v>30</v>
      </c>
      <c r="D22" t="s">
        <v>30</v>
      </c>
      <c r="E22" t="s">
        <v>144</v>
      </c>
      <c r="F22" t="s">
        <v>29</v>
      </c>
      <c r="G22" t="s">
        <v>31</v>
      </c>
      <c r="H22" t="s">
        <v>127</v>
      </c>
      <c r="I22" t="str">
        <f t="shared" si="0"/>
        <v>K6135-SAI</v>
      </c>
      <c r="J22" s="2">
        <v>46027</v>
      </c>
      <c r="K22" t="s">
        <v>250</v>
      </c>
      <c r="L22" t="s">
        <v>233</v>
      </c>
      <c r="M22" t="s">
        <v>364</v>
      </c>
      <c r="N22" t="s">
        <v>737</v>
      </c>
      <c r="O22">
        <v>68</v>
      </c>
      <c r="P22" t="s">
        <v>29</v>
      </c>
      <c r="Q22" t="s">
        <v>85</v>
      </c>
      <c r="R22" t="s">
        <v>70</v>
      </c>
      <c r="S22" t="s">
        <v>71</v>
      </c>
      <c r="T22" t="str">
        <f t="shared" si="1"/>
        <v>K6838-SGN</v>
      </c>
      <c r="U22" s="2">
        <v>46027</v>
      </c>
      <c r="V22" t="s">
        <v>234</v>
      </c>
      <c r="W22" t="s">
        <v>390</v>
      </c>
      <c r="X22" t="s">
        <v>234</v>
      </c>
      <c r="Y22" t="s">
        <v>376</v>
      </c>
      <c r="Z22" t="s">
        <v>498</v>
      </c>
      <c r="AA22">
        <f t="shared" si="2"/>
        <v>39</v>
      </c>
      <c r="AB22" t="s">
        <v>34</v>
      </c>
      <c r="AC22" t="s">
        <v>498</v>
      </c>
      <c r="AD22" t="s">
        <v>173</v>
      </c>
      <c r="AE22" t="s">
        <v>46</v>
      </c>
      <c r="AF22" t="s">
        <v>100</v>
      </c>
      <c r="AG22" t="s">
        <v>29</v>
      </c>
      <c r="AH22" t="s">
        <v>89</v>
      </c>
    </row>
    <row r="23" spans="1:34" x14ac:dyDescent="0.25">
      <c r="A23" t="s">
        <v>125</v>
      </c>
      <c r="B23" t="s">
        <v>63</v>
      </c>
      <c r="C23" t="s">
        <v>30</v>
      </c>
      <c r="D23" t="s">
        <v>30</v>
      </c>
      <c r="E23" t="s">
        <v>144</v>
      </c>
      <c r="F23" t="s">
        <v>29</v>
      </c>
      <c r="G23" t="s">
        <v>31</v>
      </c>
      <c r="H23" t="s">
        <v>127</v>
      </c>
      <c r="I23" t="str">
        <f t="shared" si="0"/>
        <v>K6131-SAI</v>
      </c>
      <c r="J23" s="2">
        <v>46027</v>
      </c>
      <c r="K23" t="s">
        <v>128</v>
      </c>
      <c r="L23" t="s">
        <v>306</v>
      </c>
      <c r="M23" t="s">
        <v>383</v>
      </c>
      <c r="N23" t="s">
        <v>306</v>
      </c>
      <c r="O23">
        <v>73</v>
      </c>
      <c r="P23" t="s">
        <v>29</v>
      </c>
      <c r="Q23" t="s">
        <v>85</v>
      </c>
      <c r="R23" t="s">
        <v>131</v>
      </c>
      <c r="S23" t="s">
        <v>127</v>
      </c>
      <c r="T23" t="str">
        <f t="shared" si="1"/>
        <v>K6130-SAI</v>
      </c>
      <c r="U23" s="2">
        <v>46027</v>
      </c>
      <c r="V23" t="s">
        <v>69</v>
      </c>
      <c r="W23" t="s">
        <v>216</v>
      </c>
      <c r="X23" t="s">
        <v>481</v>
      </c>
      <c r="Y23" t="s">
        <v>770</v>
      </c>
      <c r="Z23" t="s">
        <v>319</v>
      </c>
      <c r="AA23">
        <f t="shared" si="2"/>
        <v>71</v>
      </c>
      <c r="AB23" t="s">
        <v>34</v>
      </c>
      <c r="AC23" t="s">
        <v>319</v>
      </c>
      <c r="AD23" t="s">
        <v>90</v>
      </c>
      <c r="AE23" t="s">
        <v>46</v>
      </c>
      <c r="AF23" t="s">
        <v>136</v>
      </c>
      <c r="AG23" t="s">
        <v>29</v>
      </c>
      <c r="AH23" t="s">
        <v>89</v>
      </c>
    </row>
    <row r="24" spans="1:34" x14ac:dyDescent="0.25">
      <c r="A24" t="s">
        <v>188</v>
      </c>
      <c r="B24" t="s">
        <v>189</v>
      </c>
      <c r="C24" t="s">
        <v>30</v>
      </c>
      <c r="D24" t="s">
        <v>30</v>
      </c>
      <c r="E24" t="s">
        <v>771</v>
      </c>
      <c r="F24" t="s">
        <v>29</v>
      </c>
      <c r="G24" t="s">
        <v>38</v>
      </c>
      <c r="H24" t="s">
        <v>47</v>
      </c>
      <c r="I24" t="str">
        <f t="shared" si="0"/>
        <v>AK264-KUL</v>
      </c>
      <c r="J24" s="2">
        <v>46027</v>
      </c>
      <c r="K24" t="s">
        <v>205</v>
      </c>
      <c r="L24" t="s">
        <v>198</v>
      </c>
      <c r="M24" t="s">
        <v>206</v>
      </c>
      <c r="N24" t="s">
        <v>198</v>
      </c>
      <c r="O24">
        <v>174</v>
      </c>
      <c r="P24" t="s">
        <v>29</v>
      </c>
      <c r="Q24" t="s">
        <v>85</v>
      </c>
      <c r="R24" t="s">
        <v>195</v>
      </c>
      <c r="S24" t="s">
        <v>47</v>
      </c>
      <c r="T24" t="str">
        <f t="shared" si="1"/>
        <v>AK265-KUL</v>
      </c>
      <c r="U24" s="2">
        <v>46027</v>
      </c>
      <c r="V24" t="s">
        <v>215</v>
      </c>
      <c r="W24" t="s">
        <v>521</v>
      </c>
      <c r="X24" t="s">
        <v>668</v>
      </c>
      <c r="Y24" t="s">
        <v>29</v>
      </c>
      <c r="Z24" t="s">
        <v>293</v>
      </c>
      <c r="AA24">
        <f t="shared" si="2"/>
        <v>150</v>
      </c>
      <c r="AB24" t="s">
        <v>34</v>
      </c>
      <c r="AC24" t="s">
        <v>346</v>
      </c>
      <c r="AD24" t="s">
        <v>173</v>
      </c>
      <c r="AE24" t="s">
        <v>46</v>
      </c>
      <c r="AF24" t="s">
        <v>100</v>
      </c>
      <c r="AG24" t="s">
        <v>29</v>
      </c>
      <c r="AH24" t="s">
        <v>89</v>
      </c>
    </row>
    <row r="25" spans="1:34" x14ac:dyDescent="0.25">
      <c r="A25" t="s">
        <v>72</v>
      </c>
      <c r="B25" t="s">
        <v>63</v>
      </c>
      <c r="C25" t="s">
        <v>30</v>
      </c>
      <c r="D25" t="s">
        <v>30</v>
      </c>
      <c r="E25" t="s">
        <v>154</v>
      </c>
      <c r="F25" t="s">
        <v>29</v>
      </c>
      <c r="G25" t="s">
        <v>64</v>
      </c>
      <c r="H25" t="s">
        <v>71</v>
      </c>
      <c r="I25" t="str">
        <f t="shared" si="0"/>
        <v>K6839-SGN</v>
      </c>
      <c r="J25" s="2">
        <v>46027</v>
      </c>
      <c r="K25" t="s">
        <v>48</v>
      </c>
      <c r="L25" t="s">
        <v>378</v>
      </c>
      <c r="M25" t="s">
        <v>768</v>
      </c>
      <c r="N25" t="s">
        <v>786</v>
      </c>
      <c r="O25">
        <v>98</v>
      </c>
      <c r="P25" t="s">
        <v>29</v>
      </c>
      <c r="Q25" t="s">
        <v>85</v>
      </c>
      <c r="R25" t="s">
        <v>32</v>
      </c>
      <c r="S25" t="s">
        <v>33</v>
      </c>
      <c r="T25" t="str">
        <f t="shared" si="1"/>
        <v>K6930-SZX</v>
      </c>
      <c r="U25" s="2">
        <v>46027</v>
      </c>
      <c r="V25" t="s">
        <v>158</v>
      </c>
      <c r="W25" t="s">
        <v>735</v>
      </c>
      <c r="X25" t="s">
        <v>467</v>
      </c>
      <c r="Y25" t="s">
        <v>225</v>
      </c>
      <c r="Z25" t="s">
        <v>229</v>
      </c>
      <c r="AA25">
        <f t="shared" si="2"/>
        <v>127</v>
      </c>
      <c r="AB25" t="s">
        <v>34</v>
      </c>
      <c r="AC25" t="s">
        <v>229</v>
      </c>
      <c r="AD25" t="s">
        <v>173</v>
      </c>
      <c r="AE25" t="s">
        <v>46</v>
      </c>
      <c r="AF25" t="s">
        <v>100</v>
      </c>
      <c r="AG25" t="s">
        <v>29</v>
      </c>
      <c r="AH25" t="s">
        <v>89</v>
      </c>
    </row>
    <row r="26" spans="1:34" x14ac:dyDescent="0.25">
      <c r="A26" t="s">
        <v>170</v>
      </c>
      <c r="B26" t="s">
        <v>102</v>
      </c>
      <c r="C26" t="s">
        <v>30</v>
      </c>
      <c r="D26" t="s">
        <v>30</v>
      </c>
      <c r="E26" t="s">
        <v>392</v>
      </c>
      <c r="F26" t="s">
        <v>29</v>
      </c>
      <c r="G26" t="s">
        <v>104</v>
      </c>
      <c r="H26" t="s">
        <v>172</v>
      </c>
      <c r="I26" t="str">
        <f t="shared" si="0"/>
        <v>DR5029-KMG</v>
      </c>
      <c r="J26" s="2">
        <v>46028</v>
      </c>
      <c r="K26" t="s">
        <v>174</v>
      </c>
      <c r="L26" t="s">
        <v>273</v>
      </c>
      <c r="M26" t="s">
        <v>744</v>
      </c>
      <c r="N26" t="s">
        <v>745</v>
      </c>
      <c r="O26">
        <v>148</v>
      </c>
      <c r="P26" t="s">
        <v>29</v>
      </c>
      <c r="Q26" t="s">
        <v>85</v>
      </c>
      <c r="R26" t="s">
        <v>178</v>
      </c>
      <c r="S26" t="s">
        <v>172</v>
      </c>
      <c r="T26" t="str">
        <f t="shared" si="1"/>
        <v>DR5030-KMG</v>
      </c>
      <c r="U26" s="2">
        <v>46028</v>
      </c>
      <c r="V26" t="s">
        <v>179</v>
      </c>
      <c r="W26" t="s">
        <v>746</v>
      </c>
      <c r="X26" t="s">
        <v>379</v>
      </c>
      <c r="Y26" t="s">
        <v>340</v>
      </c>
      <c r="Z26" t="s">
        <v>490</v>
      </c>
      <c r="AA26">
        <f t="shared" si="2"/>
        <v>126</v>
      </c>
      <c r="AB26" t="s">
        <v>34</v>
      </c>
      <c r="AC26" t="s">
        <v>490</v>
      </c>
      <c r="AD26" t="s">
        <v>173</v>
      </c>
      <c r="AE26" t="s">
        <v>46</v>
      </c>
      <c r="AF26" t="s">
        <v>100</v>
      </c>
      <c r="AG26" t="s">
        <v>29</v>
      </c>
      <c r="AH26" t="s">
        <v>89</v>
      </c>
    </row>
    <row r="27" spans="1:34" x14ac:dyDescent="0.25">
      <c r="A27" t="s">
        <v>222</v>
      </c>
      <c r="B27" t="s">
        <v>223</v>
      </c>
      <c r="C27" t="s">
        <v>30</v>
      </c>
      <c r="D27" t="s">
        <v>30</v>
      </c>
      <c r="E27" t="s">
        <v>224</v>
      </c>
      <c r="F27" t="s">
        <v>29</v>
      </c>
      <c r="G27" t="s">
        <v>38</v>
      </c>
      <c r="H27" t="s">
        <v>47</v>
      </c>
      <c r="I27" t="str">
        <f t="shared" si="0"/>
        <v>KT174-KUL</v>
      </c>
      <c r="J27" s="2">
        <v>46028</v>
      </c>
      <c r="K27" t="s">
        <v>264</v>
      </c>
      <c r="L27" t="s">
        <v>265</v>
      </c>
      <c r="M27" t="s">
        <v>560</v>
      </c>
      <c r="N27" t="s">
        <v>562</v>
      </c>
      <c r="O27">
        <v>149</v>
      </c>
      <c r="P27" t="s">
        <v>29</v>
      </c>
      <c r="Q27" t="s">
        <v>85</v>
      </c>
      <c r="R27" t="s">
        <v>226</v>
      </c>
      <c r="S27" t="s">
        <v>47</v>
      </c>
      <c r="T27" t="str">
        <f t="shared" si="1"/>
        <v>KT175-KUL</v>
      </c>
      <c r="U27" s="2">
        <v>46028</v>
      </c>
      <c r="V27" t="s">
        <v>227</v>
      </c>
      <c r="W27" t="s">
        <v>267</v>
      </c>
      <c r="X27" t="s">
        <v>642</v>
      </c>
      <c r="Y27" t="s">
        <v>29</v>
      </c>
      <c r="Z27" t="s">
        <v>161</v>
      </c>
      <c r="AA27">
        <f t="shared" si="2"/>
        <v>153</v>
      </c>
      <c r="AB27" t="s">
        <v>34</v>
      </c>
      <c r="AC27" t="s">
        <v>501</v>
      </c>
      <c r="AD27" t="s">
        <v>173</v>
      </c>
      <c r="AE27" t="s">
        <v>46</v>
      </c>
      <c r="AF27" t="s">
        <v>100</v>
      </c>
      <c r="AG27" t="s">
        <v>29</v>
      </c>
      <c r="AH27" t="s">
        <v>89</v>
      </c>
    </row>
    <row r="28" spans="1:34" x14ac:dyDescent="0.25">
      <c r="A28" t="s">
        <v>125</v>
      </c>
      <c r="B28" t="s">
        <v>63</v>
      </c>
      <c r="C28" t="s">
        <v>30</v>
      </c>
      <c r="D28" t="s">
        <v>30</v>
      </c>
      <c r="E28" t="s">
        <v>144</v>
      </c>
      <c r="F28" t="s">
        <v>29</v>
      </c>
      <c r="G28" t="s">
        <v>31</v>
      </c>
      <c r="H28" t="s">
        <v>127</v>
      </c>
      <c r="I28" t="str">
        <f t="shared" si="0"/>
        <v>K6131-SAI</v>
      </c>
      <c r="J28" s="2">
        <v>46028</v>
      </c>
      <c r="K28" t="s">
        <v>128</v>
      </c>
      <c r="L28" t="s">
        <v>674</v>
      </c>
      <c r="M28" t="s">
        <v>303</v>
      </c>
      <c r="N28" t="s">
        <v>384</v>
      </c>
      <c r="O28">
        <v>69</v>
      </c>
      <c r="P28" t="s">
        <v>29</v>
      </c>
      <c r="Q28" t="s">
        <v>85</v>
      </c>
      <c r="R28" t="s">
        <v>131</v>
      </c>
      <c r="S28" t="s">
        <v>127</v>
      </c>
      <c r="T28" t="str">
        <f t="shared" si="1"/>
        <v>K6130-SAI</v>
      </c>
      <c r="U28" s="2">
        <v>46028</v>
      </c>
      <c r="V28" t="s">
        <v>69</v>
      </c>
      <c r="W28" t="s">
        <v>349</v>
      </c>
      <c r="X28" t="s">
        <v>584</v>
      </c>
      <c r="Y28" t="s">
        <v>330</v>
      </c>
      <c r="Z28" t="s">
        <v>333</v>
      </c>
      <c r="AA28">
        <f t="shared" si="2"/>
        <v>51</v>
      </c>
      <c r="AB28" t="s">
        <v>34</v>
      </c>
      <c r="AC28" t="s">
        <v>333</v>
      </c>
      <c r="AD28" t="s">
        <v>173</v>
      </c>
      <c r="AE28" t="s">
        <v>46</v>
      </c>
      <c r="AF28" t="s">
        <v>100</v>
      </c>
      <c r="AG28" t="s">
        <v>29</v>
      </c>
      <c r="AH28" t="s">
        <v>89</v>
      </c>
    </row>
    <row r="29" spans="1:34" x14ac:dyDescent="0.25">
      <c r="A29" t="s">
        <v>62</v>
      </c>
      <c r="B29" t="s">
        <v>63</v>
      </c>
      <c r="C29" t="s">
        <v>30</v>
      </c>
      <c r="D29" t="s">
        <v>30</v>
      </c>
      <c r="E29" t="s">
        <v>154</v>
      </c>
      <c r="F29" t="s">
        <v>29</v>
      </c>
      <c r="G29" t="s">
        <v>64</v>
      </c>
      <c r="H29" t="s">
        <v>33</v>
      </c>
      <c r="I29" t="str">
        <f t="shared" si="0"/>
        <v>K6931-SZX</v>
      </c>
      <c r="J29" s="2">
        <v>46028</v>
      </c>
      <c r="K29" t="s">
        <v>65</v>
      </c>
      <c r="L29" t="s">
        <v>549</v>
      </c>
      <c r="M29" t="s">
        <v>540</v>
      </c>
      <c r="N29" t="s">
        <v>593</v>
      </c>
      <c r="O29">
        <v>155</v>
      </c>
      <c r="P29" t="s">
        <v>29</v>
      </c>
      <c r="Q29" t="s">
        <v>85</v>
      </c>
      <c r="R29" t="s">
        <v>70</v>
      </c>
      <c r="S29" t="s">
        <v>71</v>
      </c>
      <c r="T29" t="str">
        <f t="shared" si="1"/>
        <v>K6838-SGN</v>
      </c>
      <c r="U29" s="2">
        <v>46028</v>
      </c>
      <c r="V29" t="s">
        <v>255</v>
      </c>
      <c r="W29" t="s">
        <v>775</v>
      </c>
      <c r="X29" t="s">
        <v>776</v>
      </c>
      <c r="Y29" t="s">
        <v>770</v>
      </c>
      <c r="Z29" t="s">
        <v>372</v>
      </c>
      <c r="AA29">
        <f t="shared" si="2"/>
        <v>62</v>
      </c>
      <c r="AB29" t="s">
        <v>34</v>
      </c>
      <c r="AC29" t="s">
        <v>177</v>
      </c>
      <c r="AD29" t="s">
        <v>173</v>
      </c>
      <c r="AE29" t="s">
        <v>46</v>
      </c>
      <c r="AF29" t="s">
        <v>100</v>
      </c>
      <c r="AG29" t="s">
        <v>29</v>
      </c>
      <c r="AH29" t="s">
        <v>89</v>
      </c>
    </row>
    <row r="30" spans="1:34" x14ac:dyDescent="0.25">
      <c r="A30" t="s">
        <v>143</v>
      </c>
      <c r="B30" t="s">
        <v>63</v>
      </c>
      <c r="C30" t="s">
        <v>30</v>
      </c>
      <c r="D30" t="s">
        <v>30</v>
      </c>
      <c r="E30" t="s">
        <v>779</v>
      </c>
      <c r="F30" t="s">
        <v>29</v>
      </c>
      <c r="G30" t="s">
        <v>31</v>
      </c>
      <c r="H30" t="s">
        <v>127</v>
      </c>
      <c r="I30" t="str">
        <f t="shared" si="0"/>
        <v>K6133-SAI</v>
      </c>
      <c r="J30" s="2">
        <v>46028</v>
      </c>
      <c r="K30" t="s">
        <v>164</v>
      </c>
      <c r="L30" t="s">
        <v>357</v>
      </c>
      <c r="M30" t="s">
        <v>541</v>
      </c>
      <c r="N30" t="s">
        <v>780</v>
      </c>
      <c r="O30">
        <v>56</v>
      </c>
      <c r="P30" t="s">
        <v>29</v>
      </c>
      <c r="Q30" t="s">
        <v>85</v>
      </c>
      <c r="R30" t="s">
        <v>149</v>
      </c>
      <c r="S30" t="s">
        <v>127</v>
      </c>
      <c r="T30" t="str">
        <f t="shared" si="1"/>
        <v>K6132-SAI</v>
      </c>
      <c r="U30" s="2">
        <v>46028</v>
      </c>
      <c r="V30" t="s">
        <v>167</v>
      </c>
      <c r="W30" t="s">
        <v>781</v>
      </c>
      <c r="X30" t="s">
        <v>167</v>
      </c>
      <c r="Y30" t="s">
        <v>376</v>
      </c>
      <c r="Z30" t="s">
        <v>211</v>
      </c>
      <c r="AA30">
        <f t="shared" si="2"/>
        <v>38</v>
      </c>
      <c r="AB30" t="s">
        <v>34</v>
      </c>
      <c r="AC30" t="s">
        <v>211</v>
      </c>
      <c r="AD30" t="s">
        <v>173</v>
      </c>
      <c r="AE30" t="s">
        <v>46</v>
      </c>
      <c r="AF30" t="s">
        <v>100</v>
      </c>
      <c r="AG30" t="s">
        <v>29</v>
      </c>
      <c r="AH30" t="s">
        <v>89</v>
      </c>
    </row>
    <row r="31" spans="1:34" x14ac:dyDescent="0.25">
      <c r="A31" t="s">
        <v>188</v>
      </c>
      <c r="B31" t="s">
        <v>189</v>
      </c>
      <c r="C31" t="s">
        <v>30</v>
      </c>
      <c r="D31" t="s">
        <v>30</v>
      </c>
      <c r="E31" t="s">
        <v>752</v>
      </c>
      <c r="F31" t="s">
        <v>29</v>
      </c>
      <c r="G31" t="s">
        <v>38</v>
      </c>
      <c r="H31" t="s">
        <v>47</v>
      </c>
      <c r="I31" t="str">
        <f t="shared" si="0"/>
        <v>AK264-KUL</v>
      </c>
      <c r="J31" s="2">
        <v>46029</v>
      </c>
      <c r="K31" t="s">
        <v>205</v>
      </c>
      <c r="L31" t="s">
        <v>198</v>
      </c>
      <c r="M31" t="s">
        <v>533</v>
      </c>
      <c r="N31" t="s">
        <v>753</v>
      </c>
      <c r="O31">
        <v>159</v>
      </c>
      <c r="P31" t="s">
        <v>29</v>
      </c>
      <c r="Q31" t="s">
        <v>85</v>
      </c>
      <c r="R31" t="s">
        <v>195</v>
      </c>
      <c r="S31" t="s">
        <v>47</v>
      </c>
      <c r="T31" t="str">
        <f t="shared" si="1"/>
        <v>AK265-KUL</v>
      </c>
      <c r="U31" s="2">
        <v>46029</v>
      </c>
      <c r="V31" t="s">
        <v>215</v>
      </c>
      <c r="W31" t="s">
        <v>207</v>
      </c>
      <c r="X31" t="s">
        <v>586</v>
      </c>
      <c r="Y31" t="s">
        <v>500</v>
      </c>
      <c r="Z31" t="s">
        <v>476</v>
      </c>
      <c r="AA31">
        <f t="shared" si="2"/>
        <v>122</v>
      </c>
      <c r="AB31" t="s">
        <v>34</v>
      </c>
      <c r="AC31" t="s">
        <v>476</v>
      </c>
      <c r="AD31" t="s">
        <v>173</v>
      </c>
      <c r="AE31" t="s">
        <v>46</v>
      </c>
      <c r="AF31" t="s">
        <v>100</v>
      </c>
      <c r="AG31" t="s">
        <v>29</v>
      </c>
      <c r="AH31" t="s">
        <v>89</v>
      </c>
    </row>
    <row r="32" spans="1:34" x14ac:dyDescent="0.25">
      <c r="A32" t="s">
        <v>72</v>
      </c>
      <c r="B32" t="s">
        <v>63</v>
      </c>
      <c r="C32" t="s">
        <v>30</v>
      </c>
      <c r="D32" t="s">
        <v>30</v>
      </c>
      <c r="E32" t="s">
        <v>144</v>
      </c>
      <c r="F32" t="s">
        <v>29</v>
      </c>
      <c r="G32" t="s">
        <v>31</v>
      </c>
      <c r="H32" t="s">
        <v>71</v>
      </c>
      <c r="I32" t="str">
        <f t="shared" si="0"/>
        <v>K6839-SGN</v>
      </c>
      <c r="J32" s="2">
        <v>46029</v>
      </c>
      <c r="K32" t="s">
        <v>142</v>
      </c>
      <c r="L32" t="s">
        <v>59</v>
      </c>
      <c r="M32" t="s">
        <v>209</v>
      </c>
      <c r="N32" t="s">
        <v>106</v>
      </c>
      <c r="O32">
        <v>50</v>
      </c>
      <c r="P32" t="s">
        <v>29</v>
      </c>
      <c r="Q32" t="s">
        <v>85</v>
      </c>
      <c r="R32" t="s">
        <v>70</v>
      </c>
      <c r="S32" t="s">
        <v>71</v>
      </c>
      <c r="T32" t="str">
        <f t="shared" si="1"/>
        <v>K6838-SGN</v>
      </c>
      <c r="U32" s="2">
        <v>46029</v>
      </c>
      <c r="V32" t="s">
        <v>316</v>
      </c>
      <c r="W32" t="s">
        <v>527</v>
      </c>
      <c r="X32" t="s">
        <v>756</v>
      </c>
      <c r="Y32" t="s">
        <v>365</v>
      </c>
      <c r="Z32" t="s">
        <v>365</v>
      </c>
      <c r="AA32">
        <f t="shared" si="2"/>
        <v>58</v>
      </c>
      <c r="AB32" t="s">
        <v>34</v>
      </c>
      <c r="AC32" t="s">
        <v>365</v>
      </c>
      <c r="AD32" t="s">
        <v>173</v>
      </c>
      <c r="AE32" t="s">
        <v>46</v>
      </c>
      <c r="AF32" t="s">
        <v>136</v>
      </c>
      <c r="AG32" t="s">
        <v>29</v>
      </c>
      <c r="AH32" t="s">
        <v>89</v>
      </c>
    </row>
    <row r="33" spans="1:34" x14ac:dyDescent="0.25">
      <c r="A33" t="s">
        <v>125</v>
      </c>
      <c r="B33" t="s">
        <v>63</v>
      </c>
      <c r="C33" t="s">
        <v>30</v>
      </c>
      <c r="D33" t="s">
        <v>30</v>
      </c>
      <c r="E33" t="s">
        <v>733</v>
      </c>
      <c r="F33" t="s">
        <v>29</v>
      </c>
      <c r="G33" t="s">
        <v>38</v>
      </c>
      <c r="H33" t="s">
        <v>127</v>
      </c>
      <c r="I33" t="str">
        <f t="shared" si="0"/>
        <v>K6131-SAI</v>
      </c>
      <c r="J33" s="2">
        <v>46029</v>
      </c>
      <c r="K33" t="s">
        <v>317</v>
      </c>
      <c r="L33" t="s">
        <v>731</v>
      </c>
      <c r="M33" t="s">
        <v>219</v>
      </c>
      <c r="N33" t="s">
        <v>317</v>
      </c>
      <c r="O33">
        <v>125</v>
      </c>
      <c r="P33" t="s">
        <v>29</v>
      </c>
      <c r="Q33" t="s">
        <v>85</v>
      </c>
      <c r="R33" t="s">
        <v>131</v>
      </c>
      <c r="S33" t="s">
        <v>127</v>
      </c>
      <c r="T33" t="str">
        <f t="shared" si="1"/>
        <v>K6130-SAI</v>
      </c>
      <c r="U33" s="2">
        <v>46029</v>
      </c>
      <c r="V33" t="s">
        <v>560</v>
      </c>
      <c r="W33" t="s">
        <v>605</v>
      </c>
      <c r="X33" t="s">
        <v>602</v>
      </c>
      <c r="Y33" t="s">
        <v>520</v>
      </c>
      <c r="Z33" t="s">
        <v>184</v>
      </c>
      <c r="AA33">
        <f t="shared" si="2"/>
        <v>73</v>
      </c>
      <c r="AB33" t="s">
        <v>34</v>
      </c>
      <c r="AC33" t="s">
        <v>184</v>
      </c>
      <c r="AD33" t="s">
        <v>90</v>
      </c>
      <c r="AE33" t="s">
        <v>46</v>
      </c>
      <c r="AF33" t="s">
        <v>100</v>
      </c>
      <c r="AG33" t="s">
        <v>29</v>
      </c>
      <c r="AH33" t="s">
        <v>89</v>
      </c>
    </row>
    <row r="34" spans="1:34" x14ac:dyDescent="0.25">
      <c r="A34" t="s">
        <v>93</v>
      </c>
      <c r="B34" t="s">
        <v>55</v>
      </c>
      <c r="C34" t="s">
        <v>37</v>
      </c>
      <c r="D34" t="s">
        <v>30</v>
      </c>
      <c r="E34" t="s">
        <v>29</v>
      </c>
      <c r="F34" t="s">
        <v>29</v>
      </c>
      <c r="G34" t="s">
        <v>56</v>
      </c>
      <c r="H34" t="s">
        <v>39</v>
      </c>
      <c r="I34" t="str">
        <f t="shared" si="0"/>
        <v>KR831-KTI</v>
      </c>
      <c r="J34" s="2">
        <v>46029</v>
      </c>
      <c r="K34" t="s">
        <v>95</v>
      </c>
      <c r="L34" t="s">
        <v>29</v>
      </c>
      <c r="M34" t="s">
        <v>29</v>
      </c>
      <c r="N34" t="s">
        <v>29</v>
      </c>
      <c r="O34" t="e">
        <v>#VALUE!</v>
      </c>
      <c r="P34" t="s">
        <v>29</v>
      </c>
      <c r="Q34" t="s">
        <v>35</v>
      </c>
      <c r="R34" t="s">
        <v>97</v>
      </c>
      <c r="S34" t="s">
        <v>57</v>
      </c>
      <c r="T34" t="str">
        <f t="shared" si="1"/>
        <v>KR961-TFU</v>
      </c>
      <c r="U34" s="2">
        <v>46029</v>
      </c>
      <c r="V34" t="s">
        <v>77</v>
      </c>
      <c r="W34" t="s">
        <v>29</v>
      </c>
      <c r="X34" t="s">
        <v>29</v>
      </c>
      <c r="Y34" t="s">
        <v>29</v>
      </c>
      <c r="Z34" t="s">
        <v>34</v>
      </c>
      <c r="AA34">
        <f t="shared" si="2"/>
        <v>1</v>
      </c>
      <c r="AB34" t="s">
        <v>29</v>
      </c>
      <c r="AC34" t="s">
        <v>29</v>
      </c>
      <c r="AD34" t="s">
        <v>29</v>
      </c>
      <c r="AE34" t="s">
        <v>29</v>
      </c>
      <c r="AF34" t="s">
        <v>29</v>
      </c>
      <c r="AG34" t="s">
        <v>29</v>
      </c>
      <c r="AH34" t="s">
        <v>35</v>
      </c>
    </row>
    <row r="35" spans="1:34" x14ac:dyDescent="0.25">
      <c r="A35" t="s">
        <v>54</v>
      </c>
      <c r="B35" t="s">
        <v>55</v>
      </c>
      <c r="C35" t="s">
        <v>30</v>
      </c>
      <c r="D35" t="s">
        <v>37</v>
      </c>
      <c r="E35" t="s">
        <v>29</v>
      </c>
      <c r="F35" t="s">
        <v>29</v>
      </c>
      <c r="G35" t="s">
        <v>56</v>
      </c>
      <c r="H35" t="s">
        <v>57</v>
      </c>
      <c r="I35" t="str">
        <f t="shared" si="0"/>
        <v>KR962-TFU</v>
      </c>
      <c r="J35" s="2">
        <v>46029</v>
      </c>
      <c r="K35" t="s">
        <v>58</v>
      </c>
      <c r="L35" t="s">
        <v>29</v>
      </c>
      <c r="M35" t="s">
        <v>29</v>
      </c>
      <c r="N35" t="s">
        <v>29</v>
      </c>
      <c r="O35" t="e">
        <v>#VALUE!</v>
      </c>
      <c r="P35" t="s">
        <v>29</v>
      </c>
      <c r="Q35" t="s">
        <v>35</v>
      </c>
      <c r="R35" t="s">
        <v>86</v>
      </c>
      <c r="S35" t="s">
        <v>39</v>
      </c>
      <c r="T35" t="str">
        <f t="shared" si="1"/>
        <v>KR832-KTI</v>
      </c>
      <c r="U35" s="2">
        <v>46029</v>
      </c>
      <c r="V35" t="s">
        <v>87</v>
      </c>
      <c r="W35" t="s">
        <v>29</v>
      </c>
      <c r="X35" t="s">
        <v>29</v>
      </c>
      <c r="Y35" t="s">
        <v>29</v>
      </c>
      <c r="Z35" t="s">
        <v>34</v>
      </c>
      <c r="AA35">
        <f t="shared" si="2"/>
        <v>1</v>
      </c>
      <c r="AB35" t="s">
        <v>29</v>
      </c>
      <c r="AC35" t="s">
        <v>29</v>
      </c>
      <c r="AD35" t="s">
        <v>29</v>
      </c>
      <c r="AE35" t="s">
        <v>29</v>
      </c>
      <c r="AF35" t="s">
        <v>29</v>
      </c>
      <c r="AG35" t="s">
        <v>29</v>
      </c>
      <c r="AH35" t="s">
        <v>35</v>
      </c>
    </row>
    <row r="36" spans="1:34" x14ac:dyDescent="0.25">
      <c r="A36" t="s">
        <v>125</v>
      </c>
      <c r="B36" t="s">
        <v>63</v>
      </c>
      <c r="C36" t="s">
        <v>30</v>
      </c>
      <c r="D36" t="s">
        <v>30</v>
      </c>
      <c r="E36" t="s">
        <v>144</v>
      </c>
      <c r="F36" t="s">
        <v>29</v>
      </c>
      <c r="G36" t="s">
        <v>31</v>
      </c>
      <c r="H36" t="s">
        <v>127</v>
      </c>
      <c r="I36" t="str">
        <f t="shared" si="0"/>
        <v>K6131-SAI</v>
      </c>
      <c r="J36" s="2">
        <v>46030</v>
      </c>
      <c r="K36" t="s">
        <v>128</v>
      </c>
      <c r="L36" t="s">
        <v>528</v>
      </c>
      <c r="M36" t="s">
        <v>45</v>
      </c>
      <c r="N36" t="s">
        <v>422</v>
      </c>
      <c r="O36">
        <v>69</v>
      </c>
      <c r="P36" t="s">
        <v>29</v>
      </c>
      <c r="Q36" t="s">
        <v>85</v>
      </c>
      <c r="R36" t="s">
        <v>131</v>
      </c>
      <c r="S36" t="s">
        <v>127</v>
      </c>
      <c r="T36" t="str">
        <f t="shared" si="1"/>
        <v>K6130-SAI</v>
      </c>
      <c r="U36" s="2">
        <v>46030</v>
      </c>
      <c r="V36" t="s">
        <v>69</v>
      </c>
      <c r="W36" t="s">
        <v>204</v>
      </c>
      <c r="X36" t="s">
        <v>132</v>
      </c>
      <c r="Y36" t="s">
        <v>276</v>
      </c>
      <c r="Z36" t="s">
        <v>275</v>
      </c>
      <c r="AA36">
        <f t="shared" si="2"/>
        <v>67</v>
      </c>
      <c r="AB36" t="s">
        <v>34</v>
      </c>
      <c r="AC36" t="s">
        <v>275</v>
      </c>
      <c r="AD36" t="s">
        <v>173</v>
      </c>
      <c r="AE36" t="s">
        <v>46</v>
      </c>
      <c r="AF36" t="s">
        <v>100</v>
      </c>
      <c r="AG36" t="s">
        <v>29</v>
      </c>
      <c r="AH36" t="s">
        <v>89</v>
      </c>
    </row>
    <row r="37" spans="1:34" x14ac:dyDescent="0.25">
      <c r="A37" t="s">
        <v>222</v>
      </c>
      <c r="B37" t="s">
        <v>223</v>
      </c>
      <c r="C37" t="s">
        <v>30</v>
      </c>
      <c r="D37" t="s">
        <v>30</v>
      </c>
      <c r="E37" t="s">
        <v>224</v>
      </c>
      <c r="F37" t="s">
        <v>29</v>
      </c>
      <c r="G37" t="s">
        <v>38</v>
      </c>
      <c r="H37" t="s">
        <v>47</v>
      </c>
      <c r="I37" t="str">
        <f t="shared" si="0"/>
        <v>KT174-KUL</v>
      </c>
      <c r="J37" s="2">
        <v>46030</v>
      </c>
      <c r="K37" t="s">
        <v>264</v>
      </c>
      <c r="L37" t="s">
        <v>435</v>
      </c>
      <c r="M37" t="s">
        <v>435</v>
      </c>
      <c r="N37" t="s">
        <v>605</v>
      </c>
      <c r="O37">
        <v>147</v>
      </c>
      <c r="P37" t="s">
        <v>29</v>
      </c>
      <c r="Q37" t="s">
        <v>85</v>
      </c>
      <c r="R37" t="s">
        <v>226</v>
      </c>
      <c r="S37" t="s">
        <v>47</v>
      </c>
      <c r="T37" t="str">
        <f t="shared" si="1"/>
        <v>KT175-KUL</v>
      </c>
      <c r="U37" s="2">
        <v>46030</v>
      </c>
      <c r="V37" t="s">
        <v>227</v>
      </c>
      <c r="W37" t="s">
        <v>329</v>
      </c>
      <c r="X37" t="s">
        <v>306</v>
      </c>
      <c r="Y37" t="s">
        <v>556</v>
      </c>
      <c r="Z37" t="s">
        <v>298</v>
      </c>
      <c r="AA37">
        <f t="shared" si="2"/>
        <v>169</v>
      </c>
      <c r="AB37" t="s">
        <v>34</v>
      </c>
      <c r="AC37" t="s">
        <v>298</v>
      </c>
      <c r="AD37" t="s">
        <v>173</v>
      </c>
      <c r="AE37" t="s">
        <v>46</v>
      </c>
      <c r="AF37" t="s">
        <v>90</v>
      </c>
      <c r="AG37" t="s">
        <v>29</v>
      </c>
      <c r="AH37" t="s">
        <v>89</v>
      </c>
    </row>
    <row r="38" spans="1:34" x14ac:dyDescent="0.25">
      <c r="A38" t="s">
        <v>68</v>
      </c>
      <c r="B38" t="s">
        <v>51</v>
      </c>
      <c r="C38" t="s">
        <v>37</v>
      </c>
      <c r="D38" t="s">
        <v>42</v>
      </c>
      <c r="E38" t="s">
        <v>712</v>
      </c>
      <c r="F38" t="s">
        <v>29</v>
      </c>
      <c r="G38" t="s">
        <v>439</v>
      </c>
      <c r="H38" t="s">
        <v>713</v>
      </c>
      <c r="I38" t="str">
        <f t="shared" si="0"/>
        <v>GN058-FUK</v>
      </c>
      <c r="J38" s="2">
        <v>46030</v>
      </c>
      <c r="K38" t="s">
        <v>548</v>
      </c>
      <c r="L38" t="s">
        <v>714</v>
      </c>
      <c r="M38" t="s">
        <v>715</v>
      </c>
      <c r="N38" t="s">
        <v>247</v>
      </c>
      <c r="O38">
        <v>1</v>
      </c>
      <c r="P38" t="s">
        <v>29</v>
      </c>
      <c r="Q38" t="s">
        <v>85</v>
      </c>
      <c r="R38" t="s">
        <v>716</v>
      </c>
      <c r="S38" t="s">
        <v>717</v>
      </c>
      <c r="T38" t="str">
        <f t="shared" si="1"/>
        <v>GN059-KIX</v>
      </c>
      <c r="U38" s="2">
        <v>46030</v>
      </c>
      <c r="V38" t="s">
        <v>361</v>
      </c>
      <c r="W38" t="s">
        <v>718</v>
      </c>
      <c r="X38" t="s">
        <v>719</v>
      </c>
      <c r="Y38" t="s">
        <v>29</v>
      </c>
      <c r="Z38" t="s">
        <v>245</v>
      </c>
      <c r="AA38">
        <f t="shared" si="2"/>
        <v>4</v>
      </c>
      <c r="AB38" t="s">
        <v>34</v>
      </c>
      <c r="AC38" t="s">
        <v>245</v>
      </c>
      <c r="AD38" t="s">
        <v>90</v>
      </c>
      <c r="AE38" t="s">
        <v>46</v>
      </c>
      <c r="AF38" t="s">
        <v>29</v>
      </c>
      <c r="AG38" t="s">
        <v>29</v>
      </c>
      <c r="AH38" t="s">
        <v>89</v>
      </c>
    </row>
    <row r="39" spans="1:34" x14ac:dyDescent="0.25">
      <c r="A39" t="s">
        <v>72</v>
      </c>
      <c r="B39" t="s">
        <v>63</v>
      </c>
      <c r="C39" t="s">
        <v>30</v>
      </c>
      <c r="D39" t="s">
        <v>30</v>
      </c>
      <c r="E39" t="s">
        <v>254</v>
      </c>
      <c r="F39" t="s">
        <v>29</v>
      </c>
      <c r="G39" t="s">
        <v>38</v>
      </c>
      <c r="H39" t="s">
        <v>71</v>
      </c>
      <c r="I39" t="str">
        <f t="shared" si="0"/>
        <v>K6839-SGN</v>
      </c>
      <c r="J39" s="2">
        <v>46030</v>
      </c>
      <c r="K39" t="s">
        <v>50</v>
      </c>
      <c r="L39" t="s">
        <v>570</v>
      </c>
      <c r="M39" t="s">
        <v>156</v>
      </c>
      <c r="N39" t="s">
        <v>721</v>
      </c>
      <c r="O39">
        <v>119</v>
      </c>
      <c r="P39" t="s">
        <v>29</v>
      </c>
      <c r="Q39" t="s">
        <v>85</v>
      </c>
      <c r="R39" t="s">
        <v>32</v>
      </c>
      <c r="S39" t="s">
        <v>33</v>
      </c>
      <c r="T39" t="str">
        <f t="shared" si="1"/>
        <v>K6930-SZX</v>
      </c>
      <c r="U39" s="2">
        <v>46030</v>
      </c>
      <c r="V39" t="s">
        <v>158</v>
      </c>
      <c r="W39" t="s">
        <v>722</v>
      </c>
      <c r="X39" t="s">
        <v>405</v>
      </c>
      <c r="Y39" t="s">
        <v>497</v>
      </c>
      <c r="Z39" t="s">
        <v>340</v>
      </c>
      <c r="AA39">
        <f t="shared" si="2"/>
        <v>135</v>
      </c>
      <c r="AB39" t="s">
        <v>34</v>
      </c>
      <c r="AC39" t="s">
        <v>340</v>
      </c>
      <c r="AD39" t="s">
        <v>173</v>
      </c>
      <c r="AE39" t="s">
        <v>46</v>
      </c>
      <c r="AF39" t="s">
        <v>136</v>
      </c>
      <c r="AG39" t="s">
        <v>29</v>
      </c>
      <c r="AH39" t="s">
        <v>89</v>
      </c>
    </row>
    <row r="40" spans="1:34" x14ac:dyDescent="0.25">
      <c r="A40" t="s">
        <v>356</v>
      </c>
      <c r="B40" t="s">
        <v>63</v>
      </c>
      <c r="C40" t="s">
        <v>30</v>
      </c>
      <c r="D40" t="s">
        <v>30</v>
      </c>
      <c r="E40" t="s">
        <v>144</v>
      </c>
      <c r="F40" t="s">
        <v>29</v>
      </c>
      <c r="G40" t="s">
        <v>31</v>
      </c>
      <c r="H40" t="s">
        <v>127</v>
      </c>
      <c r="I40" t="str">
        <f t="shared" si="0"/>
        <v>K6135-SAI</v>
      </c>
      <c r="J40" s="2">
        <v>46030</v>
      </c>
      <c r="K40" t="s">
        <v>250</v>
      </c>
      <c r="L40" t="s">
        <v>505</v>
      </c>
      <c r="M40" t="s">
        <v>81</v>
      </c>
      <c r="N40" t="s">
        <v>238</v>
      </c>
      <c r="O40">
        <v>50</v>
      </c>
      <c r="P40" t="s">
        <v>29</v>
      </c>
      <c r="Q40" t="s">
        <v>85</v>
      </c>
      <c r="R40" t="s">
        <v>70</v>
      </c>
      <c r="S40" t="s">
        <v>71</v>
      </c>
      <c r="T40" t="str">
        <f t="shared" si="1"/>
        <v>K6838-SGN</v>
      </c>
      <c r="U40" s="2">
        <v>46030</v>
      </c>
      <c r="V40" t="s">
        <v>234</v>
      </c>
      <c r="W40" t="s">
        <v>728</v>
      </c>
      <c r="X40" t="s">
        <v>165</v>
      </c>
      <c r="Y40" t="s">
        <v>330</v>
      </c>
      <c r="Z40" t="s">
        <v>333</v>
      </c>
      <c r="AA40">
        <f t="shared" si="2"/>
        <v>51</v>
      </c>
      <c r="AB40" t="s">
        <v>34</v>
      </c>
      <c r="AC40" t="s">
        <v>334</v>
      </c>
      <c r="AD40" t="s">
        <v>173</v>
      </c>
      <c r="AE40" t="s">
        <v>46</v>
      </c>
      <c r="AF40" t="s">
        <v>136</v>
      </c>
      <c r="AG40" t="s">
        <v>29</v>
      </c>
      <c r="AH40" t="s">
        <v>89</v>
      </c>
    </row>
    <row r="41" spans="1:34" x14ac:dyDescent="0.25">
      <c r="A41" t="s">
        <v>62</v>
      </c>
      <c r="B41" t="s">
        <v>63</v>
      </c>
      <c r="C41" t="s">
        <v>30</v>
      </c>
      <c r="D41" t="s">
        <v>30</v>
      </c>
      <c r="E41" t="s">
        <v>254</v>
      </c>
      <c r="F41" t="s">
        <v>29</v>
      </c>
      <c r="G41" t="s">
        <v>38</v>
      </c>
      <c r="H41" t="s">
        <v>33</v>
      </c>
      <c r="I41" t="str">
        <f t="shared" si="0"/>
        <v>K6931-SZX</v>
      </c>
      <c r="J41" s="2">
        <v>46031</v>
      </c>
      <c r="K41" t="s">
        <v>65</v>
      </c>
      <c r="L41" t="s">
        <v>29</v>
      </c>
      <c r="M41" t="s">
        <v>412</v>
      </c>
      <c r="N41" t="s">
        <v>512</v>
      </c>
      <c r="O41">
        <v>152</v>
      </c>
      <c r="P41" t="s">
        <v>29</v>
      </c>
      <c r="Q41" t="s">
        <v>85</v>
      </c>
      <c r="R41" t="s">
        <v>70</v>
      </c>
      <c r="S41" t="s">
        <v>71</v>
      </c>
      <c r="T41" t="str">
        <f t="shared" si="1"/>
        <v>K6838-SGN</v>
      </c>
      <c r="U41" s="2">
        <v>46031</v>
      </c>
      <c r="V41" t="s">
        <v>255</v>
      </c>
      <c r="W41" t="s">
        <v>685</v>
      </c>
      <c r="X41" t="s">
        <v>260</v>
      </c>
      <c r="Y41" t="s">
        <v>236</v>
      </c>
      <c r="Z41" t="s">
        <v>469</v>
      </c>
      <c r="AA41">
        <f t="shared" si="2"/>
        <v>75</v>
      </c>
      <c r="AB41" t="s">
        <v>34</v>
      </c>
      <c r="AC41" t="s">
        <v>469</v>
      </c>
      <c r="AD41" t="s">
        <v>173</v>
      </c>
      <c r="AE41" t="s">
        <v>46</v>
      </c>
      <c r="AF41" t="s">
        <v>136</v>
      </c>
      <c r="AG41" t="s">
        <v>29</v>
      </c>
      <c r="AH41" t="s">
        <v>89</v>
      </c>
    </row>
    <row r="42" spans="1:34" x14ac:dyDescent="0.25">
      <c r="A42" t="s">
        <v>699</v>
      </c>
      <c r="B42" t="s">
        <v>700</v>
      </c>
      <c r="C42" t="s">
        <v>37</v>
      </c>
      <c r="D42" t="s">
        <v>42</v>
      </c>
      <c r="E42" t="s">
        <v>701</v>
      </c>
      <c r="F42" t="s">
        <v>29</v>
      </c>
      <c r="G42" t="s">
        <v>702</v>
      </c>
      <c r="H42" t="s">
        <v>703</v>
      </c>
      <c r="I42" t="str">
        <f t="shared" si="0"/>
        <v>SOQ018-PNH</v>
      </c>
      <c r="J42" s="2">
        <v>46031</v>
      </c>
      <c r="K42" t="s">
        <v>264</v>
      </c>
      <c r="L42" t="s">
        <v>29</v>
      </c>
      <c r="M42" t="s">
        <v>29</v>
      </c>
      <c r="N42" t="s">
        <v>29</v>
      </c>
      <c r="O42" t="e">
        <v>#VALUE!</v>
      </c>
      <c r="P42" t="s">
        <v>29</v>
      </c>
      <c r="Q42" t="s">
        <v>53</v>
      </c>
      <c r="R42" t="s">
        <v>699</v>
      </c>
      <c r="S42" t="s">
        <v>127</v>
      </c>
      <c r="T42" t="str">
        <f t="shared" si="1"/>
        <v>SOQ018-SAI</v>
      </c>
      <c r="U42" s="2">
        <v>46031</v>
      </c>
      <c r="V42" t="s">
        <v>544</v>
      </c>
      <c r="W42" t="s">
        <v>29</v>
      </c>
      <c r="X42" t="s">
        <v>29</v>
      </c>
      <c r="Y42" t="s">
        <v>29</v>
      </c>
      <c r="Z42" t="s">
        <v>34</v>
      </c>
      <c r="AA42">
        <f t="shared" si="2"/>
        <v>1</v>
      </c>
      <c r="AB42" t="s">
        <v>29</v>
      </c>
      <c r="AC42" t="s">
        <v>29</v>
      </c>
      <c r="AD42" t="s">
        <v>29</v>
      </c>
      <c r="AE42" t="s">
        <v>29</v>
      </c>
      <c r="AF42" t="s">
        <v>29</v>
      </c>
      <c r="AG42" t="s">
        <v>29</v>
      </c>
      <c r="AH42" t="s">
        <v>53</v>
      </c>
    </row>
    <row r="43" spans="1:34" x14ac:dyDescent="0.25">
      <c r="A43" t="s">
        <v>188</v>
      </c>
      <c r="B43" t="s">
        <v>189</v>
      </c>
      <c r="C43" t="s">
        <v>30</v>
      </c>
      <c r="D43" t="s">
        <v>30</v>
      </c>
      <c r="E43" t="s">
        <v>724</v>
      </c>
      <c r="F43" t="s">
        <v>29</v>
      </c>
      <c r="G43" t="s">
        <v>38</v>
      </c>
      <c r="H43" t="s">
        <v>47</v>
      </c>
      <c r="I43" t="str">
        <f t="shared" si="0"/>
        <v>AK264-KUL</v>
      </c>
      <c r="J43" s="2">
        <v>46031</v>
      </c>
      <c r="K43" t="s">
        <v>205</v>
      </c>
      <c r="L43" t="s">
        <v>29</v>
      </c>
      <c r="M43" t="s">
        <v>643</v>
      </c>
      <c r="N43" t="s">
        <v>458</v>
      </c>
      <c r="O43">
        <v>158</v>
      </c>
      <c r="P43" t="s">
        <v>133</v>
      </c>
      <c r="Q43" t="s">
        <v>85</v>
      </c>
      <c r="R43" t="s">
        <v>195</v>
      </c>
      <c r="S43" t="s">
        <v>47</v>
      </c>
      <c r="T43" t="str">
        <f t="shared" si="1"/>
        <v>AK265-KUL</v>
      </c>
      <c r="U43" s="2">
        <v>46031</v>
      </c>
      <c r="V43" t="s">
        <v>215</v>
      </c>
      <c r="W43" t="s">
        <v>646</v>
      </c>
      <c r="X43" t="s">
        <v>258</v>
      </c>
      <c r="Y43" t="s">
        <v>29</v>
      </c>
      <c r="Z43" t="s">
        <v>493</v>
      </c>
      <c r="AA43">
        <f t="shared" si="2"/>
        <v>141</v>
      </c>
      <c r="AB43" t="s">
        <v>34</v>
      </c>
      <c r="AC43" t="s">
        <v>266</v>
      </c>
      <c r="AD43" t="s">
        <v>173</v>
      </c>
      <c r="AE43" t="s">
        <v>46</v>
      </c>
      <c r="AF43" t="s">
        <v>136</v>
      </c>
      <c r="AG43" t="s">
        <v>29</v>
      </c>
      <c r="AH43" t="s">
        <v>89</v>
      </c>
    </row>
    <row r="44" spans="1:34" x14ac:dyDescent="0.25">
      <c r="A44" t="s">
        <v>125</v>
      </c>
      <c r="B44" t="s">
        <v>63</v>
      </c>
      <c r="C44" t="s">
        <v>30</v>
      </c>
      <c r="D44" t="s">
        <v>30</v>
      </c>
      <c r="E44" t="s">
        <v>144</v>
      </c>
      <c r="F44" t="s">
        <v>29</v>
      </c>
      <c r="G44" t="s">
        <v>31</v>
      </c>
      <c r="H44" t="s">
        <v>127</v>
      </c>
      <c r="I44" t="str">
        <f t="shared" si="0"/>
        <v>K6131-SAI</v>
      </c>
      <c r="J44" s="2">
        <v>46031</v>
      </c>
      <c r="K44" t="s">
        <v>128</v>
      </c>
      <c r="L44" t="s">
        <v>329</v>
      </c>
      <c r="M44" t="s">
        <v>227</v>
      </c>
      <c r="N44" t="s">
        <v>530</v>
      </c>
      <c r="O44">
        <v>73</v>
      </c>
      <c r="P44" t="s">
        <v>29</v>
      </c>
      <c r="Q44" t="s">
        <v>85</v>
      </c>
      <c r="R44" t="s">
        <v>131</v>
      </c>
      <c r="S44" t="s">
        <v>127</v>
      </c>
      <c r="T44" t="str">
        <f t="shared" si="1"/>
        <v>K6130-SAI</v>
      </c>
      <c r="U44" s="2">
        <v>46031</v>
      </c>
      <c r="V44" t="s">
        <v>69</v>
      </c>
      <c r="W44" t="s">
        <v>574</v>
      </c>
      <c r="X44" t="s">
        <v>69</v>
      </c>
      <c r="Y44" t="s">
        <v>276</v>
      </c>
      <c r="Z44" t="s">
        <v>157</v>
      </c>
      <c r="AA44">
        <f t="shared" si="2"/>
        <v>65</v>
      </c>
      <c r="AB44" t="s">
        <v>34</v>
      </c>
      <c r="AC44" t="s">
        <v>157</v>
      </c>
      <c r="AD44" t="s">
        <v>173</v>
      </c>
      <c r="AE44" t="s">
        <v>46</v>
      </c>
      <c r="AF44" t="s">
        <v>100</v>
      </c>
      <c r="AG44" t="s">
        <v>29</v>
      </c>
      <c r="AH44" t="s">
        <v>89</v>
      </c>
    </row>
    <row r="45" spans="1:34" x14ac:dyDescent="0.25">
      <c r="A45" t="s">
        <v>170</v>
      </c>
      <c r="B45" t="s">
        <v>102</v>
      </c>
      <c r="C45" t="s">
        <v>30</v>
      </c>
      <c r="D45" t="s">
        <v>30</v>
      </c>
      <c r="E45" t="s">
        <v>368</v>
      </c>
      <c r="F45" t="s">
        <v>29</v>
      </c>
      <c r="G45" t="s">
        <v>104</v>
      </c>
      <c r="H45" t="s">
        <v>172</v>
      </c>
      <c r="I45" t="str">
        <f t="shared" si="0"/>
        <v>DR5029-KMG</v>
      </c>
      <c r="J45" s="2">
        <v>46032</v>
      </c>
      <c r="K45" t="s">
        <v>174</v>
      </c>
      <c r="L45" t="s">
        <v>554</v>
      </c>
      <c r="M45" t="s">
        <v>686</v>
      </c>
      <c r="N45" t="s">
        <v>325</v>
      </c>
      <c r="O45">
        <v>176</v>
      </c>
      <c r="P45" t="s">
        <v>29</v>
      </c>
      <c r="Q45" t="s">
        <v>85</v>
      </c>
      <c r="R45" t="s">
        <v>178</v>
      </c>
      <c r="S45" t="s">
        <v>172</v>
      </c>
      <c r="T45" t="str">
        <f t="shared" si="1"/>
        <v>DR5030-KMG</v>
      </c>
      <c r="U45" s="2">
        <v>46032</v>
      </c>
      <c r="V45" t="s">
        <v>179</v>
      </c>
      <c r="W45" t="s">
        <v>687</v>
      </c>
      <c r="X45" t="s">
        <v>464</v>
      </c>
      <c r="Y45" t="s">
        <v>346</v>
      </c>
      <c r="Z45" t="s">
        <v>484</v>
      </c>
      <c r="AA45">
        <f t="shared" si="2"/>
        <v>130</v>
      </c>
      <c r="AB45" t="s">
        <v>34</v>
      </c>
      <c r="AC45" t="s">
        <v>473</v>
      </c>
      <c r="AD45" t="s">
        <v>173</v>
      </c>
      <c r="AE45" t="s">
        <v>46</v>
      </c>
      <c r="AF45" t="s">
        <v>100</v>
      </c>
      <c r="AG45" t="s">
        <v>29</v>
      </c>
      <c r="AH45" t="s">
        <v>89</v>
      </c>
    </row>
    <row r="46" spans="1:34" x14ac:dyDescent="0.25">
      <c r="A46" t="s">
        <v>222</v>
      </c>
      <c r="B46" t="s">
        <v>223</v>
      </c>
      <c r="C46" t="s">
        <v>30</v>
      </c>
      <c r="D46" t="s">
        <v>30</v>
      </c>
      <c r="E46" t="s">
        <v>224</v>
      </c>
      <c r="F46" t="s">
        <v>29</v>
      </c>
      <c r="G46" t="s">
        <v>38</v>
      </c>
      <c r="H46" t="s">
        <v>47</v>
      </c>
      <c r="I46" t="str">
        <f t="shared" si="0"/>
        <v>KT174-KUL</v>
      </c>
      <c r="J46" s="2">
        <v>46032</v>
      </c>
      <c r="K46" t="s">
        <v>264</v>
      </c>
      <c r="L46" t="s">
        <v>305</v>
      </c>
      <c r="M46" t="s">
        <v>560</v>
      </c>
      <c r="N46" t="s">
        <v>691</v>
      </c>
      <c r="O46">
        <v>146</v>
      </c>
      <c r="P46" t="s">
        <v>29</v>
      </c>
      <c r="Q46" t="s">
        <v>85</v>
      </c>
      <c r="R46" t="s">
        <v>226</v>
      </c>
      <c r="S46" t="s">
        <v>47</v>
      </c>
      <c r="T46" t="str">
        <f t="shared" si="1"/>
        <v>KT175-KUL</v>
      </c>
      <c r="U46" s="2">
        <v>46032</v>
      </c>
      <c r="V46" t="s">
        <v>227</v>
      </c>
      <c r="W46" t="s">
        <v>382</v>
      </c>
      <c r="X46" t="s">
        <v>384</v>
      </c>
      <c r="Y46" t="s">
        <v>29</v>
      </c>
      <c r="Z46" t="s">
        <v>98</v>
      </c>
      <c r="AA46">
        <f t="shared" si="2"/>
        <v>157</v>
      </c>
      <c r="AB46" t="s">
        <v>34</v>
      </c>
      <c r="AC46" t="s">
        <v>98</v>
      </c>
      <c r="AD46" t="s">
        <v>173</v>
      </c>
      <c r="AE46" t="s">
        <v>46</v>
      </c>
      <c r="AF46" t="s">
        <v>114</v>
      </c>
      <c r="AG46" t="s">
        <v>29</v>
      </c>
      <c r="AH46" t="s">
        <v>89</v>
      </c>
    </row>
    <row r="47" spans="1:34" x14ac:dyDescent="0.25">
      <c r="A47" t="s">
        <v>707</v>
      </c>
      <c r="B47" t="s">
        <v>51</v>
      </c>
      <c r="C47" t="s">
        <v>42</v>
      </c>
      <c r="D47" t="s">
        <v>37</v>
      </c>
      <c r="E47" t="s">
        <v>116</v>
      </c>
      <c r="F47" t="s">
        <v>29</v>
      </c>
      <c r="G47" t="s">
        <v>80</v>
      </c>
      <c r="H47" t="s">
        <v>44</v>
      </c>
      <c r="I47" t="str">
        <f t="shared" si="0"/>
        <v>GN060-SZB</v>
      </c>
      <c r="J47" s="2">
        <v>46032</v>
      </c>
      <c r="K47" t="s">
        <v>357</v>
      </c>
      <c r="L47" t="s">
        <v>708</v>
      </c>
      <c r="M47" t="s">
        <v>708</v>
      </c>
      <c r="N47" t="s">
        <v>709</v>
      </c>
      <c r="O47">
        <v>8</v>
      </c>
      <c r="P47" t="s">
        <v>29</v>
      </c>
      <c r="Q47" t="s">
        <v>85</v>
      </c>
      <c r="R47" t="s">
        <v>710</v>
      </c>
      <c r="S47" t="s">
        <v>711</v>
      </c>
      <c r="T47" t="str">
        <f t="shared" si="1"/>
        <v>GN061-DEL</v>
      </c>
      <c r="U47" s="2">
        <v>46033</v>
      </c>
      <c r="V47" t="s">
        <v>45</v>
      </c>
      <c r="W47" t="s">
        <v>347</v>
      </c>
      <c r="X47" t="s">
        <v>69</v>
      </c>
      <c r="Y47" t="s">
        <v>29</v>
      </c>
      <c r="Z47" t="s">
        <v>34</v>
      </c>
      <c r="AA47">
        <f t="shared" si="2"/>
        <v>1</v>
      </c>
      <c r="AB47" t="s">
        <v>34</v>
      </c>
      <c r="AC47" t="s">
        <v>34</v>
      </c>
      <c r="AD47" t="s">
        <v>100</v>
      </c>
      <c r="AE47" t="s">
        <v>46</v>
      </c>
      <c r="AF47" t="s">
        <v>29</v>
      </c>
      <c r="AG47" t="s">
        <v>29</v>
      </c>
      <c r="AH47" t="s">
        <v>89</v>
      </c>
    </row>
    <row r="48" spans="1:34" x14ac:dyDescent="0.25">
      <c r="A48" t="s">
        <v>72</v>
      </c>
      <c r="B48" t="s">
        <v>63</v>
      </c>
      <c r="C48" t="s">
        <v>30</v>
      </c>
      <c r="D48" t="s">
        <v>30</v>
      </c>
      <c r="E48" t="s">
        <v>126</v>
      </c>
      <c r="F48" t="s">
        <v>29</v>
      </c>
      <c r="G48" t="s">
        <v>31</v>
      </c>
      <c r="H48" t="s">
        <v>71</v>
      </c>
      <c r="I48" t="str">
        <f t="shared" si="0"/>
        <v>K6839-SGN</v>
      </c>
      <c r="J48" s="2">
        <v>46032</v>
      </c>
      <c r="K48" t="s">
        <v>142</v>
      </c>
      <c r="L48" t="s">
        <v>479</v>
      </c>
      <c r="M48" t="s">
        <v>720</v>
      </c>
      <c r="N48" t="s">
        <v>656</v>
      </c>
      <c r="O48">
        <v>51</v>
      </c>
      <c r="P48" t="s">
        <v>29</v>
      </c>
      <c r="Q48" t="s">
        <v>85</v>
      </c>
      <c r="R48" t="s">
        <v>70</v>
      </c>
      <c r="S48" t="s">
        <v>71</v>
      </c>
      <c r="T48" t="str">
        <f t="shared" si="1"/>
        <v>K6838-SGN</v>
      </c>
      <c r="U48" s="2">
        <v>46032</v>
      </c>
      <c r="V48" t="s">
        <v>316</v>
      </c>
      <c r="W48" t="s">
        <v>107</v>
      </c>
      <c r="X48" t="s">
        <v>545</v>
      </c>
      <c r="Y48" t="s">
        <v>315</v>
      </c>
      <c r="Z48" t="s">
        <v>315</v>
      </c>
      <c r="AA48">
        <f t="shared" si="2"/>
        <v>49</v>
      </c>
      <c r="AB48" t="s">
        <v>34</v>
      </c>
      <c r="AC48" t="s">
        <v>315</v>
      </c>
      <c r="AD48" t="s">
        <v>173</v>
      </c>
      <c r="AE48" t="s">
        <v>46</v>
      </c>
      <c r="AF48" t="s">
        <v>136</v>
      </c>
      <c r="AG48" t="s">
        <v>29</v>
      </c>
      <c r="AH48" t="s">
        <v>89</v>
      </c>
    </row>
    <row r="49" spans="1:34" x14ac:dyDescent="0.25">
      <c r="A49" t="s">
        <v>125</v>
      </c>
      <c r="B49" t="s">
        <v>63</v>
      </c>
      <c r="C49" t="s">
        <v>30</v>
      </c>
      <c r="D49" t="s">
        <v>30</v>
      </c>
      <c r="E49" t="s">
        <v>733</v>
      </c>
      <c r="F49" t="s">
        <v>29</v>
      </c>
      <c r="G49" t="s">
        <v>38</v>
      </c>
      <c r="H49" t="s">
        <v>127</v>
      </c>
      <c r="I49" t="str">
        <f t="shared" si="0"/>
        <v>K6131-SAI</v>
      </c>
      <c r="J49" s="2">
        <v>46032</v>
      </c>
      <c r="K49" t="s">
        <v>317</v>
      </c>
      <c r="L49" t="s">
        <v>108</v>
      </c>
      <c r="M49" t="s">
        <v>107</v>
      </c>
      <c r="N49" t="s">
        <v>483</v>
      </c>
      <c r="O49">
        <v>132</v>
      </c>
      <c r="P49" t="s">
        <v>29</v>
      </c>
      <c r="Q49" t="s">
        <v>85</v>
      </c>
      <c r="R49" t="s">
        <v>131</v>
      </c>
      <c r="S49" t="s">
        <v>127</v>
      </c>
      <c r="T49" t="str">
        <f t="shared" si="1"/>
        <v>K6130-SAI</v>
      </c>
      <c r="U49" s="2">
        <v>46032</v>
      </c>
      <c r="V49" t="s">
        <v>560</v>
      </c>
      <c r="W49" t="s">
        <v>112</v>
      </c>
      <c r="X49" t="s">
        <v>113</v>
      </c>
      <c r="Y49" t="s">
        <v>474</v>
      </c>
      <c r="Z49" t="s">
        <v>734</v>
      </c>
      <c r="AA49">
        <f t="shared" si="2"/>
        <v>86</v>
      </c>
      <c r="AB49" t="s">
        <v>34</v>
      </c>
      <c r="AC49" t="s">
        <v>734</v>
      </c>
      <c r="AD49" t="s">
        <v>90</v>
      </c>
      <c r="AE49" t="s">
        <v>46</v>
      </c>
      <c r="AF49" t="s">
        <v>136</v>
      </c>
      <c r="AG49" t="s">
        <v>29</v>
      </c>
      <c r="AH49" t="s">
        <v>89</v>
      </c>
    </row>
    <row r="50" spans="1:34" x14ac:dyDescent="0.25">
      <c r="A50" t="s">
        <v>188</v>
      </c>
      <c r="B50" t="s">
        <v>189</v>
      </c>
      <c r="C50" t="s">
        <v>30</v>
      </c>
      <c r="D50" t="s">
        <v>30</v>
      </c>
      <c r="E50" t="s">
        <v>640</v>
      </c>
      <c r="F50" t="s">
        <v>29</v>
      </c>
      <c r="G50" t="s">
        <v>38</v>
      </c>
      <c r="H50" t="s">
        <v>47</v>
      </c>
      <c r="I50" t="str">
        <f t="shared" si="0"/>
        <v>AK264-KUL</v>
      </c>
      <c r="J50" s="2">
        <v>46033</v>
      </c>
      <c r="K50" t="s">
        <v>205</v>
      </c>
      <c r="L50" t="s">
        <v>289</v>
      </c>
      <c r="M50" t="s">
        <v>191</v>
      </c>
      <c r="N50" t="s">
        <v>347</v>
      </c>
      <c r="O50">
        <v>175</v>
      </c>
      <c r="P50" t="s">
        <v>29</v>
      </c>
      <c r="Q50" t="s">
        <v>85</v>
      </c>
      <c r="R50" t="s">
        <v>195</v>
      </c>
      <c r="S50" t="s">
        <v>47</v>
      </c>
      <c r="T50" t="str">
        <f t="shared" si="1"/>
        <v>AK265-KUL</v>
      </c>
      <c r="U50" s="2">
        <v>46033</v>
      </c>
      <c r="V50" t="s">
        <v>215</v>
      </c>
      <c r="W50" t="s">
        <v>345</v>
      </c>
      <c r="X50" t="s">
        <v>521</v>
      </c>
      <c r="Y50" t="s">
        <v>29</v>
      </c>
      <c r="Z50" t="s">
        <v>373</v>
      </c>
      <c r="AA50">
        <f t="shared" si="2"/>
        <v>175</v>
      </c>
      <c r="AB50" t="s">
        <v>34</v>
      </c>
      <c r="AC50" t="s">
        <v>183</v>
      </c>
      <c r="AD50" t="s">
        <v>173</v>
      </c>
      <c r="AE50" t="s">
        <v>46</v>
      </c>
      <c r="AF50" t="s">
        <v>100</v>
      </c>
      <c r="AG50" t="s">
        <v>29</v>
      </c>
      <c r="AH50" t="s">
        <v>89</v>
      </c>
    </row>
    <row r="51" spans="1:34" x14ac:dyDescent="0.25">
      <c r="A51" t="s">
        <v>72</v>
      </c>
      <c r="B51" t="s">
        <v>63</v>
      </c>
      <c r="C51" t="s">
        <v>30</v>
      </c>
      <c r="D51" t="s">
        <v>30</v>
      </c>
      <c r="E51" t="s">
        <v>126</v>
      </c>
      <c r="F51" t="s">
        <v>29</v>
      </c>
      <c r="G51" t="s">
        <v>31</v>
      </c>
      <c r="H51" t="s">
        <v>71</v>
      </c>
      <c r="I51" t="str">
        <f t="shared" si="0"/>
        <v>K6839-SGN</v>
      </c>
      <c r="J51" s="2">
        <v>46033</v>
      </c>
      <c r="K51" t="s">
        <v>312</v>
      </c>
      <c r="L51" t="s">
        <v>29</v>
      </c>
      <c r="M51" t="s">
        <v>29</v>
      </c>
      <c r="N51" t="s">
        <v>29</v>
      </c>
      <c r="O51" t="e">
        <v>#VALUE!</v>
      </c>
      <c r="P51" t="s">
        <v>29</v>
      </c>
      <c r="Q51" t="s">
        <v>53</v>
      </c>
      <c r="R51" t="s">
        <v>70</v>
      </c>
      <c r="S51" t="s">
        <v>71</v>
      </c>
      <c r="T51" t="str">
        <f t="shared" si="1"/>
        <v>K6838-SGN</v>
      </c>
      <c r="U51" s="2">
        <v>46033</v>
      </c>
      <c r="V51" t="s">
        <v>316</v>
      </c>
      <c r="W51" t="s">
        <v>29</v>
      </c>
      <c r="X51" t="s">
        <v>29</v>
      </c>
      <c r="Y51" t="s">
        <v>256</v>
      </c>
      <c r="Z51" t="s">
        <v>34</v>
      </c>
      <c r="AA51">
        <f t="shared" si="2"/>
        <v>1</v>
      </c>
      <c r="AB51" t="s">
        <v>29</v>
      </c>
      <c r="AC51" t="s">
        <v>29</v>
      </c>
      <c r="AD51" t="s">
        <v>29</v>
      </c>
      <c r="AE51" t="s">
        <v>730</v>
      </c>
      <c r="AF51" t="s">
        <v>29</v>
      </c>
      <c r="AG51" t="s">
        <v>29</v>
      </c>
      <c r="AH51" t="s">
        <v>53</v>
      </c>
    </row>
    <row r="52" spans="1:34" x14ac:dyDescent="0.25">
      <c r="A52" t="s">
        <v>101</v>
      </c>
      <c r="B52" t="s">
        <v>102</v>
      </c>
      <c r="C52" t="s">
        <v>30</v>
      </c>
      <c r="D52" t="s">
        <v>30</v>
      </c>
      <c r="E52" t="s">
        <v>185</v>
      </c>
      <c r="F52" t="s">
        <v>29</v>
      </c>
      <c r="G52" t="s">
        <v>104</v>
      </c>
      <c r="H52" t="s">
        <v>105</v>
      </c>
      <c r="I52" t="str">
        <f t="shared" si="0"/>
        <v>DR5031-WUX</v>
      </c>
      <c r="J52" s="2">
        <v>46033</v>
      </c>
      <c r="K52" t="s">
        <v>106</v>
      </c>
      <c r="L52" t="s">
        <v>317</v>
      </c>
      <c r="M52" t="s">
        <v>731</v>
      </c>
      <c r="N52" t="s">
        <v>318</v>
      </c>
      <c r="O52">
        <v>97</v>
      </c>
      <c r="P52" t="s">
        <v>29</v>
      </c>
      <c r="Q52" t="s">
        <v>85</v>
      </c>
      <c r="R52" t="s">
        <v>110</v>
      </c>
      <c r="S52" t="s">
        <v>105</v>
      </c>
      <c r="T52" t="str">
        <f t="shared" si="1"/>
        <v>DR5032-WUX</v>
      </c>
      <c r="U52" s="2">
        <v>46033</v>
      </c>
      <c r="V52" t="s">
        <v>111</v>
      </c>
      <c r="W52" t="s">
        <v>602</v>
      </c>
      <c r="X52" t="s">
        <v>732</v>
      </c>
      <c r="Y52" t="s">
        <v>231</v>
      </c>
      <c r="Z52" t="s">
        <v>240</v>
      </c>
      <c r="AA52">
        <f t="shared" si="2"/>
        <v>107</v>
      </c>
      <c r="AB52" t="s">
        <v>34</v>
      </c>
      <c r="AC52" t="s">
        <v>240</v>
      </c>
      <c r="AD52" t="s">
        <v>173</v>
      </c>
      <c r="AE52" t="s">
        <v>46</v>
      </c>
      <c r="AF52" t="s">
        <v>90</v>
      </c>
      <c r="AG52" t="s">
        <v>29</v>
      </c>
      <c r="AH52" t="s">
        <v>89</v>
      </c>
    </row>
    <row r="53" spans="1:34" x14ac:dyDescent="0.25">
      <c r="A53" t="s">
        <v>125</v>
      </c>
      <c r="B53" t="s">
        <v>63</v>
      </c>
      <c r="C53" t="s">
        <v>30</v>
      </c>
      <c r="D53" t="s">
        <v>30</v>
      </c>
      <c r="E53" t="s">
        <v>733</v>
      </c>
      <c r="F53" t="s">
        <v>29</v>
      </c>
      <c r="G53" t="s">
        <v>38</v>
      </c>
      <c r="H53" t="s">
        <v>127</v>
      </c>
      <c r="I53" t="str">
        <f t="shared" si="0"/>
        <v>K6131-SAI</v>
      </c>
      <c r="J53" s="2">
        <v>46033</v>
      </c>
      <c r="K53" t="s">
        <v>317</v>
      </c>
      <c r="L53" t="s">
        <v>602</v>
      </c>
      <c r="M53" t="s">
        <v>562</v>
      </c>
      <c r="N53" t="s">
        <v>602</v>
      </c>
      <c r="O53">
        <v>141</v>
      </c>
      <c r="P53" t="s">
        <v>29</v>
      </c>
      <c r="Q53" t="s">
        <v>85</v>
      </c>
      <c r="R53" t="s">
        <v>131</v>
      </c>
      <c r="S53" t="s">
        <v>127</v>
      </c>
      <c r="T53" t="str">
        <f t="shared" si="1"/>
        <v>K6130-SAI</v>
      </c>
      <c r="U53" s="2">
        <v>46033</v>
      </c>
      <c r="V53" t="s">
        <v>560</v>
      </c>
      <c r="W53" t="s">
        <v>213</v>
      </c>
      <c r="X53" t="s">
        <v>729</v>
      </c>
      <c r="Y53" t="s">
        <v>599</v>
      </c>
      <c r="Z53" t="s">
        <v>473</v>
      </c>
      <c r="AA53">
        <f t="shared" si="2"/>
        <v>128</v>
      </c>
      <c r="AB53" t="s">
        <v>34</v>
      </c>
      <c r="AC53" t="s">
        <v>473</v>
      </c>
      <c r="AD53" t="s">
        <v>90</v>
      </c>
      <c r="AE53" t="s">
        <v>46</v>
      </c>
      <c r="AF53" t="s">
        <v>100</v>
      </c>
      <c r="AG53" t="s">
        <v>29</v>
      </c>
      <c r="AH53" t="s">
        <v>89</v>
      </c>
    </row>
    <row r="54" spans="1:34" x14ac:dyDescent="0.25">
      <c r="A54" t="s">
        <v>695</v>
      </c>
      <c r="B54" t="s">
        <v>51</v>
      </c>
      <c r="C54" t="s">
        <v>37</v>
      </c>
      <c r="D54" t="s">
        <v>42</v>
      </c>
      <c r="E54" t="s">
        <v>667</v>
      </c>
      <c r="F54" t="s">
        <v>29</v>
      </c>
      <c r="G54" t="s">
        <v>80</v>
      </c>
      <c r="H54" t="s">
        <v>39</v>
      </c>
      <c r="I54" t="str">
        <f t="shared" si="0"/>
        <v>GN062-KTI</v>
      </c>
      <c r="J54" s="2">
        <v>46034</v>
      </c>
      <c r="K54" t="s">
        <v>696</v>
      </c>
      <c r="L54" t="s">
        <v>96</v>
      </c>
      <c r="M54" t="s">
        <v>96</v>
      </c>
      <c r="N54" t="s">
        <v>697</v>
      </c>
      <c r="O54">
        <v>1</v>
      </c>
      <c r="P54" t="s">
        <v>29</v>
      </c>
      <c r="Q54" t="s">
        <v>85</v>
      </c>
      <c r="R54" t="s">
        <v>698</v>
      </c>
      <c r="S54" t="s">
        <v>44</v>
      </c>
      <c r="T54" t="str">
        <f t="shared" si="1"/>
        <v>GN063-SZB</v>
      </c>
      <c r="U54" s="2">
        <v>46034</v>
      </c>
      <c r="V54" t="s">
        <v>74</v>
      </c>
      <c r="W54" t="s">
        <v>401</v>
      </c>
      <c r="X54" t="s">
        <v>567</v>
      </c>
      <c r="Y54" t="s">
        <v>29</v>
      </c>
      <c r="Z54" t="s">
        <v>124</v>
      </c>
      <c r="AA54">
        <f t="shared" si="2"/>
        <v>12</v>
      </c>
      <c r="AB54" t="s">
        <v>34</v>
      </c>
      <c r="AC54" t="s">
        <v>124</v>
      </c>
      <c r="AD54" t="s">
        <v>114</v>
      </c>
      <c r="AE54" t="s">
        <v>46</v>
      </c>
      <c r="AF54" t="s">
        <v>29</v>
      </c>
      <c r="AG54" t="s">
        <v>29</v>
      </c>
      <c r="AH54" t="s">
        <v>89</v>
      </c>
    </row>
    <row r="55" spans="1:34" x14ac:dyDescent="0.25">
      <c r="A55" t="s">
        <v>125</v>
      </c>
      <c r="B55" t="s">
        <v>63</v>
      </c>
      <c r="C55" t="s">
        <v>30</v>
      </c>
      <c r="D55" t="s">
        <v>30</v>
      </c>
      <c r="E55" t="s">
        <v>126</v>
      </c>
      <c r="F55" t="s">
        <v>29</v>
      </c>
      <c r="G55" t="s">
        <v>31</v>
      </c>
      <c r="H55" t="s">
        <v>127</v>
      </c>
      <c r="I55" t="str">
        <f t="shared" si="0"/>
        <v>K6131-SAI</v>
      </c>
      <c r="J55" s="2">
        <v>46034</v>
      </c>
      <c r="K55" t="s">
        <v>128</v>
      </c>
      <c r="L55" t="s">
        <v>382</v>
      </c>
      <c r="M55" t="s">
        <v>531</v>
      </c>
      <c r="N55" t="s">
        <v>583</v>
      </c>
      <c r="O55">
        <v>72</v>
      </c>
      <c r="P55" t="s">
        <v>29</v>
      </c>
      <c r="Q55" t="s">
        <v>85</v>
      </c>
      <c r="R55" t="s">
        <v>131</v>
      </c>
      <c r="S55" t="s">
        <v>127</v>
      </c>
      <c r="T55" t="str">
        <f t="shared" si="1"/>
        <v>K6130-SAI</v>
      </c>
      <c r="U55" s="2">
        <v>46034</v>
      </c>
      <c r="V55" t="s">
        <v>69</v>
      </c>
      <c r="W55" t="s">
        <v>69</v>
      </c>
      <c r="X55" t="s">
        <v>584</v>
      </c>
      <c r="Y55" t="s">
        <v>367</v>
      </c>
      <c r="Z55" t="s">
        <v>319</v>
      </c>
      <c r="AA55">
        <f t="shared" si="2"/>
        <v>71</v>
      </c>
      <c r="AB55" t="s">
        <v>34</v>
      </c>
      <c r="AC55" t="s">
        <v>319</v>
      </c>
      <c r="AD55" t="s">
        <v>90</v>
      </c>
      <c r="AE55" t="s">
        <v>46</v>
      </c>
      <c r="AF55" t="s">
        <v>100</v>
      </c>
      <c r="AG55" t="s">
        <v>29</v>
      </c>
      <c r="AH55" t="s">
        <v>89</v>
      </c>
    </row>
    <row r="56" spans="1:34" x14ac:dyDescent="0.25">
      <c r="A56" t="s">
        <v>188</v>
      </c>
      <c r="B56" t="s">
        <v>189</v>
      </c>
      <c r="C56" t="s">
        <v>30</v>
      </c>
      <c r="D56" t="s">
        <v>30</v>
      </c>
      <c r="E56" t="s">
        <v>723</v>
      </c>
      <c r="F56" t="s">
        <v>29</v>
      </c>
      <c r="G56" t="s">
        <v>38</v>
      </c>
      <c r="H56" t="s">
        <v>47</v>
      </c>
      <c r="I56" t="str">
        <f t="shared" si="0"/>
        <v>AK264-KUL</v>
      </c>
      <c r="J56" s="2">
        <v>46034</v>
      </c>
      <c r="K56" t="s">
        <v>205</v>
      </c>
      <c r="L56" t="s">
        <v>205</v>
      </c>
      <c r="M56" t="s">
        <v>422</v>
      </c>
      <c r="N56" t="s">
        <v>69</v>
      </c>
      <c r="O56">
        <v>177</v>
      </c>
      <c r="P56" t="s">
        <v>29</v>
      </c>
      <c r="Q56" t="s">
        <v>85</v>
      </c>
      <c r="R56" t="s">
        <v>195</v>
      </c>
      <c r="S56" t="s">
        <v>47</v>
      </c>
      <c r="T56" t="str">
        <f t="shared" si="1"/>
        <v>AK265-KUL</v>
      </c>
      <c r="U56" s="2">
        <v>46034</v>
      </c>
      <c r="V56" t="s">
        <v>215</v>
      </c>
      <c r="W56" t="s">
        <v>575</v>
      </c>
      <c r="X56" t="s">
        <v>573</v>
      </c>
      <c r="Y56" t="s">
        <v>29</v>
      </c>
      <c r="Z56" t="s">
        <v>328</v>
      </c>
      <c r="AA56">
        <f t="shared" si="2"/>
        <v>172</v>
      </c>
      <c r="AB56" t="s">
        <v>34</v>
      </c>
      <c r="AC56" t="s">
        <v>328</v>
      </c>
      <c r="AD56" t="s">
        <v>173</v>
      </c>
      <c r="AE56" t="s">
        <v>46</v>
      </c>
      <c r="AF56" t="s">
        <v>100</v>
      </c>
      <c r="AG56" t="s">
        <v>29</v>
      </c>
      <c r="AH56" t="s">
        <v>89</v>
      </c>
    </row>
    <row r="57" spans="1:34" x14ac:dyDescent="0.25">
      <c r="A57" t="s">
        <v>356</v>
      </c>
      <c r="B57" t="s">
        <v>63</v>
      </c>
      <c r="C57" t="s">
        <v>30</v>
      </c>
      <c r="D57" t="s">
        <v>30</v>
      </c>
      <c r="E57" t="s">
        <v>126</v>
      </c>
      <c r="F57" t="s">
        <v>29</v>
      </c>
      <c r="G57" t="s">
        <v>31</v>
      </c>
      <c r="H57" t="s">
        <v>127</v>
      </c>
      <c r="I57" t="str">
        <f t="shared" si="0"/>
        <v>K6135-SAI</v>
      </c>
      <c r="J57" s="2">
        <v>46034</v>
      </c>
      <c r="K57" t="s">
        <v>250</v>
      </c>
      <c r="L57" t="s">
        <v>232</v>
      </c>
      <c r="M57" t="s">
        <v>727</v>
      </c>
      <c r="N57" t="s">
        <v>364</v>
      </c>
      <c r="O57">
        <v>41</v>
      </c>
      <c r="P57" t="s">
        <v>29</v>
      </c>
      <c r="Q57" t="s">
        <v>85</v>
      </c>
      <c r="R57" t="s">
        <v>70</v>
      </c>
      <c r="S57" t="s">
        <v>71</v>
      </c>
      <c r="T57" t="str">
        <f t="shared" si="1"/>
        <v>K6838-SGN</v>
      </c>
      <c r="U57" s="2">
        <v>46034</v>
      </c>
      <c r="V57" t="s">
        <v>234</v>
      </c>
      <c r="W57" t="s">
        <v>390</v>
      </c>
      <c r="X57" t="s">
        <v>492</v>
      </c>
      <c r="Y57" t="s">
        <v>251</v>
      </c>
      <c r="Z57" t="s">
        <v>220</v>
      </c>
      <c r="AA57">
        <f t="shared" si="2"/>
        <v>36</v>
      </c>
      <c r="AB57" t="s">
        <v>34</v>
      </c>
      <c r="AC57" t="s">
        <v>220</v>
      </c>
      <c r="AD57" t="s">
        <v>173</v>
      </c>
      <c r="AE57" t="s">
        <v>46</v>
      </c>
      <c r="AF57" t="s">
        <v>136</v>
      </c>
      <c r="AG57" t="s">
        <v>29</v>
      </c>
      <c r="AH57" t="s">
        <v>89</v>
      </c>
    </row>
    <row r="58" spans="1:34" x14ac:dyDescent="0.25">
      <c r="A58" t="s">
        <v>72</v>
      </c>
      <c r="B58" t="s">
        <v>63</v>
      </c>
      <c r="C58" t="s">
        <v>30</v>
      </c>
      <c r="D58" t="s">
        <v>30</v>
      </c>
      <c r="E58" t="s">
        <v>254</v>
      </c>
      <c r="F58" t="s">
        <v>29</v>
      </c>
      <c r="G58" t="s">
        <v>38</v>
      </c>
      <c r="H58" t="s">
        <v>71</v>
      </c>
      <c r="I58" t="str">
        <f t="shared" si="0"/>
        <v>K6839-SGN</v>
      </c>
      <c r="J58" s="2">
        <v>46034</v>
      </c>
      <c r="K58" t="s">
        <v>48</v>
      </c>
      <c r="L58" t="s">
        <v>50</v>
      </c>
      <c r="M58" t="s">
        <v>155</v>
      </c>
      <c r="N58" t="s">
        <v>502</v>
      </c>
      <c r="O58">
        <v>135</v>
      </c>
      <c r="P58" t="s">
        <v>29</v>
      </c>
      <c r="Q58" t="s">
        <v>85</v>
      </c>
      <c r="R58" t="s">
        <v>32</v>
      </c>
      <c r="S58" t="s">
        <v>33</v>
      </c>
      <c r="T58" t="str">
        <f t="shared" si="1"/>
        <v>K6930-SZX</v>
      </c>
      <c r="U58" s="2">
        <v>46034</v>
      </c>
      <c r="V58" t="s">
        <v>158</v>
      </c>
      <c r="W58" t="s">
        <v>735</v>
      </c>
      <c r="X58" t="s">
        <v>467</v>
      </c>
      <c r="Y58" t="s">
        <v>266</v>
      </c>
      <c r="Z58" t="s">
        <v>476</v>
      </c>
      <c r="AA58">
        <f t="shared" si="2"/>
        <v>122</v>
      </c>
      <c r="AB58" t="s">
        <v>34</v>
      </c>
      <c r="AC58" t="s">
        <v>476</v>
      </c>
      <c r="AD58" t="s">
        <v>173</v>
      </c>
      <c r="AE58" t="s">
        <v>46</v>
      </c>
      <c r="AF58" t="s">
        <v>100</v>
      </c>
      <c r="AG58" t="s">
        <v>29</v>
      </c>
      <c r="AH58" t="s">
        <v>89</v>
      </c>
    </row>
    <row r="59" spans="1:34" x14ac:dyDescent="0.25">
      <c r="A59" t="s">
        <v>170</v>
      </c>
      <c r="B59" t="s">
        <v>102</v>
      </c>
      <c r="C59" t="s">
        <v>30</v>
      </c>
      <c r="D59" t="s">
        <v>30</v>
      </c>
      <c r="E59" t="s">
        <v>471</v>
      </c>
      <c r="F59" t="s">
        <v>29</v>
      </c>
      <c r="G59" t="s">
        <v>104</v>
      </c>
      <c r="H59" t="s">
        <v>172</v>
      </c>
      <c r="I59" t="str">
        <f t="shared" si="0"/>
        <v>DR5029-KMG</v>
      </c>
      <c r="J59" s="2">
        <v>46035</v>
      </c>
      <c r="K59" t="s">
        <v>174</v>
      </c>
      <c r="L59" t="s">
        <v>50</v>
      </c>
      <c r="M59" t="s">
        <v>558</v>
      </c>
      <c r="N59" t="s">
        <v>559</v>
      </c>
      <c r="O59">
        <v>163</v>
      </c>
      <c r="P59" t="s">
        <v>29</v>
      </c>
      <c r="Q59" t="s">
        <v>85</v>
      </c>
      <c r="R59" t="s">
        <v>178</v>
      </c>
      <c r="S59" t="s">
        <v>172</v>
      </c>
      <c r="T59" t="str">
        <f t="shared" si="1"/>
        <v>DR5030-KMG</v>
      </c>
      <c r="U59" s="2">
        <v>46035</v>
      </c>
      <c r="V59" t="s">
        <v>179</v>
      </c>
      <c r="W59" t="s">
        <v>466</v>
      </c>
      <c r="X59" t="s">
        <v>323</v>
      </c>
      <c r="Y59" t="s">
        <v>421</v>
      </c>
      <c r="Z59" t="s">
        <v>497</v>
      </c>
      <c r="AA59">
        <f t="shared" si="2"/>
        <v>148</v>
      </c>
      <c r="AB59" t="s">
        <v>34</v>
      </c>
      <c r="AC59" t="s">
        <v>497</v>
      </c>
      <c r="AD59" t="s">
        <v>173</v>
      </c>
      <c r="AE59" t="s">
        <v>46</v>
      </c>
      <c r="AF59" t="s">
        <v>100</v>
      </c>
      <c r="AG59" t="s">
        <v>29</v>
      </c>
      <c r="AH59" t="s">
        <v>89</v>
      </c>
    </row>
    <row r="60" spans="1:34" x14ac:dyDescent="0.25">
      <c r="A60" t="s">
        <v>62</v>
      </c>
      <c r="B60" t="s">
        <v>63</v>
      </c>
      <c r="C60" t="s">
        <v>30</v>
      </c>
      <c r="D60" t="s">
        <v>30</v>
      </c>
      <c r="E60" t="s">
        <v>254</v>
      </c>
      <c r="F60" t="s">
        <v>29</v>
      </c>
      <c r="G60" t="s">
        <v>38</v>
      </c>
      <c r="H60" t="s">
        <v>33</v>
      </c>
      <c r="I60" t="str">
        <f t="shared" si="0"/>
        <v>K6931-SZX</v>
      </c>
      <c r="J60" s="2">
        <v>46035</v>
      </c>
      <c r="K60" t="s">
        <v>65</v>
      </c>
      <c r="L60" t="s">
        <v>688</v>
      </c>
      <c r="M60" t="s">
        <v>413</v>
      </c>
      <c r="N60" t="s">
        <v>587</v>
      </c>
      <c r="O60">
        <v>124</v>
      </c>
      <c r="P60" t="s">
        <v>29</v>
      </c>
      <c r="Q60" t="s">
        <v>85</v>
      </c>
      <c r="R60" t="s">
        <v>70</v>
      </c>
      <c r="S60" t="s">
        <v>71</v>
      </c>
      <c r="T60" t="str">
        <f t="shared" si="1"/>
        <v>K6838-SGN</v>
      </c>
      <c r="U60" s="2">
        <v>46035</v>
      </c>
      <c r="V60" t="s">
        <v>255</v>
      </c>
      <c r="W60" t="s">
        <v>689</v>
      </c>
      <c r="X60" t="s">
        <v>140</v>
      </c>
      <c r="Y60" t="s">
        <v>302</v>
      </c>
      <c r="Z60" t="s">
        <v>507</v>
      </c>
      <c r="AA60">
        <f t="shared" si="2"/>
        <v>95</v>
      </c>
      <c r="AB60" t="s">
        <v>34</v>
      </c>
      <c r="AC60" t="s">
        <v>507</v>
      </c>
      <c r="AD60" t="s">
        <v>173</v>
      </c>
      <c r="AE60" t="s">
        <v>46</v>
      </c>
      <c r="AF60" t="s">
        <v>136</v>
      </c>
      <c r="AG60" t="s">
        <v>29</v>
      </c>
      <c r="AH60" t="s">
        <v>89</v>
      </c>
    </row>
    <row r="61" spans="1:34" x14ac:dyDescent="0.25">
      <c r="A61" t="s">
        <v>222</v>
      </c>
      <c r="B61" t="s">
        <v>223</v>
      </c>
      <c r="C61" t="s">
        <v>30</v>
      </c>
      <c r="D61" t="s">
        <v>30</v>
      </c>
      <c r="E61" t="s">
        <v>224</v>
      </c>
      <c r="F61" t="s">
        <v>29</v>
      </c>
      <c r="G61" t="s">
        <v>38</v>
      </c>
      <c r="H61" t="s">
        <v>47</v>
      </c>
      <c r="I61" t="str">
        <f t="shared" si="0"/>
        <v>KT174-KUL</v>
      </c>
      <c r="J61" s="2">
        <v>46035</v>
      </c>
      <c r="K61" t="s">
        <v>264</v>
      </c>
      <c r="L61" t="s">
        <v>264</v>
      </c>
      <c r="M61" t="s">
        <v>264</v>
      </c>
      <c r="N61" t="s">
        <v>690</v>
      </c>
      <c r="O61">
        <v>178</v>
      </c>
      <c r="P61" t="s">
        <v>29</v>
      </c>
      <c r="Q61" t="s">
        <v>85</v>
      </c>
      <c r="R61" t="s">
        <v>226</v>
      </c>
      <c r="S61" t="s">
        <v>47</v>
      </c>
      <c r="T61" t="str">
        <f t="shared" si="1"/>
        <v>KT175-KUL</v>
      </c>
      <c r="U61" s="2">
        <v>46035</v>
      </c>
      <c r="V61" t="s">
        <v>227</v>
      </c>
      <c r="W61" t="s">
        <v>117</v>
      </c>
      <c r="X61" t="s">
        <v>445</v>
      </c>
      <c r="Y61" t="s">
        <v>29</v>
      </c>
      <c r="Z61" t="s">
        <v>557</v>
      </c>
      <c r="AA61">
        <f t="shared" si="2"/>
        <v>176</v>
      </c>
      <c r="AB61" t="s">
        <v>34</v>
      </c>
      <c r="AC61" t="s">
        <v>183</v>
      </c>
      <c r="AD61" t="s">
        <v>173</v>
      </c>
      <c r="AE61" t="s">
        <v>46</v>
      </c>
      <c r="AF61" t="s">
        <v>100</v>
      </c>
      <c r="AG61" t="s">
        <v>29</v>
      </c>
      <c r="AH61" t="s">
        <v>89</v>
      </c>
    </row>
    <row r="62" spans="1:34" x14ac:dyDescent="0.25">
      <c r="A62" t="s">
        <v>704</v>
      </c>
      <c r="B62" t="s">
        <v>51</v>
      </c>
      <c r="C62" t="s">
        <v>37</v>
      </c>
      <c r="D62" t="s">
        <v>42</v>
      </c>
      <c r="E62" t="s">
        <v>705</v>
      </c>
      <c r="F62" t="s">
        <v>29</v>
      </c>
      <c r="G62" t="s">
        <v>56</v>
      </c>
      <c r="H62" t="s">
        <v>60</v>
      </c>
      <c r="I62" t="str">
        <f t="shared" si="0"/>
        <v>GN064-XSP</v>
      </c>
      <c r="J62" s="2">
        <v>46035</v>
      </c>
      <c r="K62" t="s">
        <v>488</v>
      </c>
      <c r="L62" t="s">
        <v>560</v>
      </c>
      <c r="M62" t="s">
        <v>513</v>
      </c>
      <c r="N62" t="s">
        <v>393</v>
      </c>
      <c r="O62">
        <v>1</v>
      </c>
      <c r="P62" t="s">
        <v>29</v>
      </c>
      <c r="Q62" t="s">
        <v>85</v>
      </c>
      <c r="R62" t="s">
        <v>706</v>
      </c>
      <c r="S62" t="s">
        <v>60</v>
      </c>
      <c r="T62" t="str">
        <f t="shared" si="1"/>
        <v>GN065-XSP</v>
      </c>
      <c r="U62" s="2">
        <v>46035</v>
      </c>
      <c r="V62" t="s">
        <v>45</v>
      </c>
      <c r="W62" t="s">
        <v>430</v>
      </c>
      <c r="X62" t="s">
        <v>201</v>
      </c>
      <c r="Y62" t="s">
        <v>29</v>
      </c>
      <c r="Z62" t="s">
        <v>433</v>
      </c>
      <c r="AA62">
        <f t="shared" si="2"/>
        <v>6</v>
      </c>
      <c r="AB62" t="s">
        <v>34</v>
      </c>
      <c r="AC62" t="s">
        <v>433</v>
      </c>
      <c r="AD62" t="s">
        <v>100</v>
      </c>
      <c r="AE62" t="s">
        <v>46</v>
      </c>
      <c r="AF62" t="s">
        <v>29</v>
      </c>
      <c r="AG62" t="s">
        <v>29</v>
      </c>
      <c r="AH62" t="s">
        <v>89</v>
      </c>
    </row>
    <row r="63" spans="1:34" x14ac:dyDescent="0.25">
      <c r="A63" t="s">
        <v>125</v>
      </c>
      <c r="B63" t="s">
        <v>63</v>
      </c>
      <c r="C63" t="s">
        <v>30</v>
      </c>
      <c r="D63" t="s">
        <v>30</v>
      </c>
      <c r="E63" t="s">
        <v>126</v>
      </c>
      <c r="F63" t="s">
        <v>29</v>
      </c>
      <c r="G63" t="s">
        <v>31</v>
      </c>
      <c r="H63" t="s">
        <v>127</v>
      </c>
      <c r="I63" t="str">
        <f t="shared" si="0"/>
        <v>K6131-SAI</v>
      </c>
      <c r="J63" s="2">
        <v>46035</v>
      </c>
      <c r="K63" t="s">
        <v>128</v>
      </c>
      <c r="L63" t="s">
        <v>382</v>
      </c>
      <c r="M63" t="s">
        <v>531</v>
      </c>
      <c r="N63" t="s">
        <v>515</v>
      </c>
      <c r="O63">
        <v>69</v>
      </c>
      <c r="P63" t="s">
        <v>29</v>
      </c>
      <c r="Q63" t="s">
        <v>85</v>
      </c>
      <c r="R63" t="s">
        <v>131</v>
      </c>
      <c r="S63" t="s">
        <v>127</v>
      </c>
      <c r="T63" t="str">
        <f t="shared" si="1"/>
        <v>K6130-SAI</v>
      </c>
      <c r="U63" s="2">
        <v>46035</v>
      </c>
      <c r="V63" t="s">
        <v>69</v>
      </c>
      <c r="W63" t="s">
        <v>69</v>
      </c>
      <c r="X63" t="s">
        <v>337</v>
      </c>
      <c r="Y63" t="s">
        <v>350</v>
      </c>
      <c r="Z63" t="s">
        <v>275</v>
      </c>
      <c r="AA63">
        <f t="shared" si="2"/>
        <v>67</v>
      </c>
      <c r="AB63" t="s">
        <v>34</v>
      </c>
      <c r="AC63" t="s">
        <v>275</v>
      </c>
      <c r="AD63" t="s">
        <v>114</v>
      </c>
      <c r="AE63" t="s">
        <v>46</v>
      </c>
      <c r="AF63" t="s">
        <v>136</v>
      </c>
      <c r="AG63" t="s">
        <v>29</v>
      </c>
      <c r="AH63" t="s">
        <v>89</v>
      </c>
    </row>
    <row r="64" spans="1:34" x14ac:dyDescent="0.25">
      <c r="A64" t="s">
        <v>93</v>
      </c>
      <c r="B64" t="s">
        <v>55</v>
      </c>
      <c r="C64" t="s">
        <v>37</v>
      </c>
      <c r="D64" t="s">
        <v>30</v>
      </c>
      <c r="E64" t="s">
        <v>29</v>
      </c>
      <c r="F64" t="s">
        <v>29</v>
      </c>
      <c r="G64" t="s">
        <v>56</v>
      </c>
      <c r="H64" t="s">
        <v>39</v>
      </c>
      <c r="I64" t="str">
        <f t="shared" si="0"/>
        <v>KR831-KTI</v>
      </c>
      <c r="J64" s="2">
        <v>46036</v>
      </c>
      <c r="K64" t="s">
        <v>95</v>
      </c>
      <c r="L64" t="s">
        <v>29</v>
      </c>
      <c r="M64" t="s">
        <v>29</v>
      </c>
      <c r="N64" t="s">
        <v>29</v>
      </c>
      <c r="O64" t="e">
        <v>#VALUE!</v>
      </c>
      <c r="P64" t="s">
        <v>29</v>
      </c>
      <c r="Q64" t="s">
        <v>35</v>
      </c>
      <c r="R64" t="s">
        <v>97</v>
      </c>
      <c r="S64" t="s">
        <v>57</v>
      </c>
      <c r="T64" t="str">
        <f t="shared" si="1"/>
        <v>KR961-TFU</v>
      </c>
      <c r="U64" s="2">
        <v>46036</v>
      </c>
      <c r="V64" t="s">
        <v>77</v>
      </c>
      <c r="W64" t="s">
        <v>29</v>
      </c>
      <c r="X64" t="s">
        <v>29</v>
      </c>
      <c r="Y64" t="s">
        <v>29</v>
      </c>
      <c r="Z64" t="s">
        <v>34</v>
      </c>
      <c r="AA64">
        <f t="shared" si="2"/>
        <v>1</v>
      </c>
      <c r="AB64" t="s">
        <v>29</v>
      </c>
      <c r="AC64" t="s">
        <v>29</v>
      </c>
      <c r="AD64" t="s">
        <v>29</v>
      </c>
      <c r="AE64" t="s">
        <v>29</v>
      </c>
      <c r="AF64" t="s">
        <v>29</v>
      </c>
      <c r="AG64" t="s">
        <v>29</v>
      </c>
      <c r="AH64" t="s">
        <v>35</v>
      </c>
    </row>
    <row r="65" spans="1:34" x14ac:dyDescent="0.25">
      <c r="A65" t="s">
        <v>692</v>
      </c>
      <c r="B65" t="s">
        <v>51</v>
      </c>
      <c r="C65" t="s">
        <v>37</v>
      </c>
      <c r="D65" t="s">
        <v>42</v>
      </c>
      <c r="E65" t="s">
        <v>693</v>
      </c>
      <c r="F65" t="s">
        <v>29</v>
      </c>
      <c r="G65" t="s">
        <v>66</v>
      </c>
      <c r="H65" t="s">
        <v>67</v>
      </c>
      <c r="I65" t="str">
        <f t="shared" si="0"/>
        <v>GN066-VTE</v>
      </c>
      <c r="J65" s="2">
        <v>46036</v>
      </c>
      <c r="K65" t="s">
        <v>133</v>
      </c>
      <c r="L65" t="s">
        <v>29</v>
      </c>
      <c r="M65" t="s">
        <v>29</v>
      </c>
      <c r="N65" t="s">
        <v>29</v>
      </c>
      <c r="O65" t="e">
        <v>#VALUE!</v>
      </c>
      <c r="P65" t="s">
        <v>29</v>
      </c>
      <c r="Q65" t="s">
        <v>35</v>
      </c>
      <c r="R65" t="s">
        <v>694</v>
      </c>
      <c r="S65" t="s">
        <v>60</v>
      </c>
      <c r="T65" t="str">
        <f t="shared" si="1"/>
        <v>GN067-XSP</v>
      </c>
      <c r="U65" s="2">
        <v>46036</v>
      </c>
      <c r="V65" t="s">
        <v>49</v>
      </c>
      <c r="W65" t="s">
        <v>29</v>
      </c>
      <c r="X65" t="s">
        <v>29</v>
      </c>
      <c r="Y65" t="s">
        <v>29</v>
      </c>
      <c r="Z65" t="s">
        <v>34</v>
      </c>
      <c r="AA65">
        <f t="shared" si="2"/>
        <v>1</v>
      </c>
      <c r="AB65" t="s">
        <v>29</v>
      </c>
      <c r="AC65" t="s">
        <v>29</v>
      </c>
      <c r="AD65" t="s">
        <v>29</v>
      </c>
      <c r="AE65" t="s">
        <v>29</v>
      </c>
      <c r="AF65" t="s">
        <v>29</v>
      </c>
      <c r="AG65" t="s">
        <v>29</v>
      </c>
      <c r="AH65" t="s">
        <v>35</v>
      </c>
    </row>
    <row r="66" spans="1:34" x14ac:dyDescent="0.25">
      <c r="A66" t="s">
        <v>72</v>
      </c>
      <c r="B66" t="s">
        <v>63</v>
      </c>
      <c r="C66" t="s">
        <v>30</v>
      </c>
      <c r="D66" t="s">
        <v>30</v>
      </c>
      <c r="E66" t="s">
        <v>144</v>
      </c>
      <c r="F66" t="s">
        <v>29</v>
      </c>
      <c r="G66" t="s">
        <v>31</v>
      </c>
      <c r="H66" t="s">
        <v>71</v>
      </c>
      <c r="I66" t="str">
        <f t="shared" si="0"/>
        <v>K6839-SGN</v>
      </c>
      <c r="J66" s="2">
        <v>46036</v>
      </c>
      <c r="K66" t="s">
        <v>312</v>
      </c>
      <c r="L66" t="s">
        <v>478</v>
      </c>
      <c r="M66" t="s">
        <v>477</v>
      </c>
      <c r="N66" t="s">
        <v>534</v>
      </c>
      <c r="O66">
        <v>66</v>
      </c>
      <c r="P66" t="s">
        <v>29</v>
      </c>
      <c r="Q66" t="s">
        <v>85</v>
      </c>
      <c r="R66" t="s">
        <v>70</v>
      </c>
      <c r="S66" t="s">
        <v>71</v>
      </c>
      <c r="T66" t="str">
        <f t="shared" si="1"/>
        <v>K6838-SGN</v>
      </c>
      <c r="U66" s="2">
        <v>46036</v>
      </c>
      <c r="V66" t="s">
        <v>316</v>
      </c>
      <c r="W66" t="s">
        <v>402</v>
      </c>
      <c r="X66" t="s">
        <v>106</v>
      </c>
      <c r="Y66" t="s">
        <v>350</v>
      </c>
      <c r="Z66" t="s">
        <v>319</v>
      </c>
      <c r="AA66">
        <f t="shared" si="2"/>
        <v>71</v>
      </c>
      <c r="AB66" t="s">
        <v>34</v>
      </c>
      <c r="AC66" t="s">
        <v>319</v>
      </c>
      <c r="AD66" t="s">
        <v>173</v>
      </c>
      <c r="AE66" t="s">
        <v>46</v>
      </c>
      <c r="AF66" t="s">
        <v>136</v>
      </c>
      <c r="AG66" t="s">
        <v>29</v>
      </c>
      <c r="AH66" t="s">
        <v>89</v>
      </c>
    </row>
    <row r="67" spans="1:34" x14ac:dyDescent="0.25">
      <c r="A67" t="s">
        <v>188</v>
      </c>
      <c r="B67" t="s">
        <v>189</v>
      </c>
      <c r="C67" t="s">
        <v>30</v>
      </c>
      <c r="D67" t="s">
        <v>30</v>
      </c>
      <c r="E67" t="s">
        <v>725</v>
      </c>
      <c r="F67" t="s">
        <v>29</v>
      </c>
      <c r="G67" t="s">
        <v>286</v>
      </c>
      <c r="H67" t="s">
        <v>47</v>
      </c>
      <c r="I67" t="str">
        <f t="shared" ref="I67:I130" si="3">_xlfn.CONCAT(A67,"-",H67)</f>
        <v>AK264-KUL</v>
      </c>
      <c r="J67" s="2">
        <v>46036</v>
      </c>
      <c r="K67" t="s">
        <v>205</v>
      </c>
      <c r="L67" t="s">
        <v>644</v>
      </c>
      <c r="M67" t="s">
        <v>586</v>
      </c>
      <c r="N67" t="s">
        <v>726</v>
      </c>
      <c r="O67">
        <v>158</v>
      </c>
      <c r="P67" t="s">
        <v>644</v>
      </c>
      <c r="Q67" t="s">
        <v>85</v>
      </c>
      <c r="R67" t="s">
        <v>195</v>
      </c>
      <c r="S67" t="s">
        <v>47</v>
      </c>
      <c r="T67" t="str">
        <f t="shared" ref="T67:T130" si="4">_xlfn.CONCAT(R67,"-",S67)</f>
        <v>AK265-KUL</v>
      </c>
      <c r="U67" s="2">
        <v>46036</v>
      </c>
      <c r="V67" t="s">
        <v>215</v>
      </c>
      <c r="W67" t="s">
        <v>310</v>
      </c>
      <c r="X67" t="s">
        <v>627</v>
      </c>
      <c r="Y67" t="s">
        <v>29</v>
      </c>
      <c r="Z67" t="s">
        <v>563</v>
      </c>
      <c r="AA67">
        <f t="shared" ref="AA67:AA130" si="5">Z67+1</f>
        <v>178</v>
      </c>
      <c r="AB67" t="s">
        <v>34</v>
      </c>
      <c r="AC67" t="s">
        <v>563</v>
      </c>
      <c r="AD67" t="s">
        <v>173</v>
      </c>
      <c r="AE67" t="s">
        <v>46</v>
      </c>
      <c r="AF67" t="s">
        <v>100</v>
      </c>
      <c r="AG67" t="s">
        <v>29</v>
      </c>
      <c r="AH67" t="s">
        <v>89</v>
      </c>
    </row>
    <row r="68" spans="1:34" x14ac:dyDescent="0.25">
      <c r="A68" t="s">
        <v>125</v>
      </c>
      <c r="B68" t="s">
        <v>63</v>
      </c>
      <c r="C68" t="s">
        <v>30</v>
      </c>
      <c r="D68" t="s">
        <v>30</v>
      </c>
      <c r="E68" t="s">
        <v>126</v>
      </c>
      <c r="F68" t="s">
        <v>29</v>
      </c>
      <c r="G68" t="s">
        <v>31</v>
      </c>
      <c r="H68" t="s">
        <v>127</v>
      </c>
      <c r="I68" t="str">
        <f t="shared" si="3"/>
        <v>K6131-SAI</v>
      </c>
      <c r="J68" s="2">
        <v>46036</v>
      </c>
      <c r="K68" t="s">
        <v>128</v>
      </c>
      <c r="L68" t="s">
        <v>287</v>
      </c>
      <c r="M68" t="s">
        <v>729</v>
      </c>
      <c r="N68" t="s">
        <v>192</v>
      </c>
      <c r="O68">
        <v>56</v>
      </c>
      <c r="P68" t="s">
        <v>29</v>
      </c>
      <c r="Q68" t="s">
        <v>85</v>
      </c>
      <c r="R68" t="s">
        <v>131</v>
      </c>
      <c r="S68" t="s">
        <v>127</v>
      </c>
      <c r="T68" t="str">
        <f t="shared" si="4"/>
        <v>K6130-SAI</v>
      </c>
      <c r="U68" s="2">
        <v>46036</v>
      </c>
      <c r="V68" t="s">
        <v>69</v>
      </c>
      <c r="W68" t="s">
        <v>91</v>
      </c>
      <c r="X68" t="s">
        <v>582</v>
      </c>
      <c r="Y68" t="s">
        <v>367</v>
      </c>
      <c r="Z68" t="s">
        <v>130</v>
      </c>
      <c r="AA68">
        <f t="shared" si="5"/>
        <v>72</v>
      </c>
      <c r="AB68" t="s">
        <v>34</v>
      </c>
      <c r="AC68" t="s">
        <v>130</v>
      </c>
      <c r="AD68" t="s">
        <v>90</v>
      </c>
      <c r="AE68" t="s">
        <v>46</v>
      </c>
      <c r="AF68" t="s">
        <v>100</v>
      </c>
      <c r="AG68" t="s">
        <v>29</v>
      </c>
      <c r="AH68" t="s">
        <v>89</v>
      </c>
    </row>
    <row r="69" spans="1:34" x14ac:dyDescent="0.25">
      <c r="A69" t="s">
        <v>54</v>
      </c>
      <c r="B69" t="s">
        <v>55</v>
      </c>
      <c r="C69" t="s">
        <v>30</v>
      </c>
      <c r="D69" t="s">
        <v>37</v>
      </c>
      <c r="E69" t="s">
        <v>29</v>
      </c>
      <c r="F69" t="s">
        <v>29</v>
      </c>
      <c r="G69" t="s">
        <v>56</v>
      </c>
      <c r="H69" t="s">
        <v>57</v>
      </c>
      <c r="I69" t="str">
        <f t="shared" si="3"/>
        <v>KR962-TFU</v>
      </c>
      <c r="J69" s="2">
        <v>46036</v>
      </c>
      <c r="K69" t="s">
        <v>58</v>
      </c>
      <c r="L69" t="s">
        <v>29</v>
      </c>
      <c r="M69" t="s">
        <v>29</v>
      </c>
      <c r="N69" t="s">
        <v>29</v>
      </c>
      <c r="O69" t="e">
        <v>#VALUE!</v>
      </c>
      <c r="P69" t="s">
        <v>29</v>
      </c>
      <c r="Q69" t="s">
        <v>35</v>
      </c>
      <c r="R69" t="s">
        <v>86</v>
      </c>
      <c r="S69" t="s">
        <v>39</v>
      </c>
      <c r="T69" t="str">
        <f t="shared" si="4"/>
        <v>KR832-KTI</v>
      </c>
      <c r="U69" s="2">
        <v>46036</v>
      </c>
      <c r="V69" t="s">
        <v>87</v>
      </c>
      <c r="W69" t="s">
        <v>29</v>
      </c>
      <c r="X69" t="s">
        <v>29</v>
      </c>
      <c r="Y69" t="s">
        <v>29</v>
      </c>
      <c r="Z69" t="s">
        <v>34</v>
      </c>
      <c r="AA69">
        <f t="shared" si="5"/>
        <v>1</v>
      </c>
      <c r="AB69" t="s">
        <v>29</v>
      </c>
      <c r="AC69" t="s">
        <v>29</v>
      </c>
      <c r="AD69" t="s">
        <v>29</v>
      </c>
      <c r="AE69" t="s">
        <v>29</v>
      </c>
      <c r="AF69" t="s">
        <v>29</v>
      </c>
      <c r="AG69" t="s">
        <v>29</v>
      </c>
      <c r="AH69" t="s">
        <v>35</v>
      </c>
    </row>
    <row r="70" spans="1:34" x14ac:dyDescent="0.25">
      <c r="A70" t="s">
        <v>222</v>
      </c>
      <c r="B70" t="s">
        <v>223</v>
      </c>
      <c r="C70" t="s">
        <v>30</v>
      </c>
      <c r="D70" t="s">
        <v>30</v>
      </c>
      <c r="E70" t="s">
        <v>294</v>
      </c>
      <c r="F70" t="s">
        <v>29</v>
      </c>
      <c r="G70" t="s">
        <v>38</v>
      </c>
      <c r="H70" t="s">
        <v>47</v>
      </c>
      <c r="I70" t="str">
        <f t="shared" si="3"/>
        <v>KT174-KUL</v>
      </c>
      <c r="J70" s="2">
        <v>46037</v>
      </c>
      <c r="K70" t="s">
        <v>264</v>
      </c>
      <c r="L70" t="s">
        <v>605</v>
      </c>
      <c r="M70" t="s">
        <v>606</v>
      </c>
      <c r="N70" t="s">
        <v>607</v>
      </c>
      <c r="O70">
        <v>163</v>
      </c>
      <c r="P70" t="s">
        <v>29</v>
      </c>
      <c r="Q70" t="s">
        <v>85</v>
      </c>
      <c r="R70" t="s">
        <v>226</v>
      </c>
      <c r="S70" t="s">
        <v>47</v>
      </c>
      <c r="T70" t="str">
        <f t="shared" si="4"/>
        <v>KT175-KUL</v>
      </c>
      <c r="U70" s="2">
        <v>46037</v>
      </c>
      <c r="V70" t="s">
        <v>227</v>
      </c>
      <c r="W70" t="s">
        <v>117</v>
      </c>
      <c r="X70" t="s">
        <v>214</v>
      </c>
      <c r="Y70" t="s">
        <v>29</v>
      </c>
      <c r="Z70" t="s">
        <v>556</v>
      </c>
      <c r="AA70">
        <f t="shared" si="5"/>
        <v>182</v>
      </c>
      <c r="AB70" t="s">
        <v>34</v>
      </c>
      <c r="AC70" t="s">
        <v>307</v>
      </c>
      <c r="AD70" t="s">
        <v>173</v>
      </c>
      <c r="AE70" t="s">
        <v>46</v>
      </c>
      <c r="AF70" t="s">
        <v>136</v>
      </c>
      <c r="AG70" t="s">
        <v>29</v>
      </c>
      <c r="AH70" t="s">
        <v>89</v>
      </c>
    </row>
    <row r="71" spans="1:34" x14ac:dyDescent="0.25">
      <c r="A71" t="s">
        <v>609</v>
      </c>
      <c r="B71" t="s">
        <v>51</v>
      </c>
      <c r="C71" t="s">
        <v>42</v>
      </c>
      <c r="D71" t="s">
        <v>42</v>
      </c>
      <c r="E71" t="s">
        <v>610</v>
      </c>
      <c r="F71" t="s">
        <v>29</v>
      </c>
      <c r="G71" t="s">
        <v>43</v>
      </c>
      <c r="H71" t="s">
        <v>611</v>
      </c>
      <c r="I71" t="str">
        <f t="shared" si="3"/>
        <v>GN070-TSA</v>
      </c>
      <c r="J71" s="2">
        <v>46037</v>
      </c>
      <c r="K71" t="s">
        <v>612</v>
      </c>
      <c r="L71" t="s">
        <v>29</v>
      </c>
      <c r="M71" t="s">
        <v>76</v>
      </c>
      <c r="N71" t="s">
        <v>613</v>
      </c>
      <c r="O71">
        <v>5</v>
      </c>
      <c r="P71" t="s">
        <v>29</v>
      </c>
      <c r="Q71" t="s">
        <v>85</v>
      </c>
      <c r="R71" t="s">
        <v>614</v>
      </c>
      <c r="S71" t="s">
        <v>44</v>
      </c>
      <c r="T71" t="str">
        <f t="shared" si="4"/>
        <v>GN071-SZB</v>
      </c>
      <c r="U71" s="2">
        <v>46038</v>
      </c>
      <c r="V71" t="s">
        <v>45</v>
      </c>
      <c r="W71" t="s">
        <v>580</v>
      </c>
      <c r="X71" t="s">
        <v>427</v>
      </c>
      <c r="Y71" t="s">
        <v>29</v>
      </c>
      <c r="Z71" t="s">
        <v>79</v>
      </c>
      <c r="AA71">
        <f t="shared" si="5"/>
        <v>13</v>
      </c>
      <c r="AB71" t="s">
        <v>34</v>
      </c>
      <c r="AC71" t="s">
        <v>124</v>
      </c>
      <c r="AD71" t="s">
        <v>100</v>
      </c>
      <c r="AE71" t="s">
        <v>46</v>
      </c>
      <c r="AF71" t="s">
        <v>29</v>
      </c>
      <c r="AG71" t="s">
        <v>29</v>
      </c>
      <c r="AH71" t="s">
        <v>89</v>
      </c>
    </row>
    <row r="72" spans="1:34" x14ac:dyDescent="0.25">
      <c r="A72" t="s">
        <v>72</v>
      </c>
      <c r="B72" t="s">
        <v>63</v>
      </c>
      <c r="C72" t="s">
        <v>30</v>
      </c>
      <c r="D72" t="s">
        <v>30</v>
      </c>
      <c r="E72" t="s">
        <v>154</v>
      </c>
      <c r="F72" t="s">
        <v>29</v>
      </c>
      <c r="G72" t="s">
        <v>64</v>
      </c>
      <c r="H72" t="s">
        <v>71</v>
      </c>
      <c r="I72" t="str">
        <f t="shared" si="3"/>
        <v>K6839-SGN</v>
      </c>
      <c r="J72" s="2">
        <v>46037</v>
      </c>
      <c r="K72" t="s">
        <v>48</v>
      </c>
      <c r="L72" t="s">
        <v>29</v>
      </c>
      <c r="M72" t="s">
        <v>598</v>
      </c>
      <c r="N72" t="s">
        <v>369</v>
      </c>
      <c r="O72">
        <v>90</v>
      </c>
      <c r="P72" t="s">
        <v>29</v>
      </c>
      <c r="Q72" t="s">
        <v>85</v>
      </c>
      <c r="R72" t="s">
        <v>32</v>
      </c>
      <c r="S72" t="s">
        <v>33</v>
      </c>
      <c r="T72" t="str">
        <f t="shared" si="4"/>
        <v>K6930-SZX</v>
      </c>
      <c r="U72" s="2">
        <v>46037</v>
      </c>
      <c r="V72" t="s">
        <v>158</v>
      </c>
      <c r="W72" t="s">
        <v>635</v>
      </c>
      <c r="X72" t="s">
        <v>636</v>
      </c>
      <c r="Y72" t="s">
        <v>159</v>
      </c>
      <c r="Z72" t="s">
        <v>599</v>
      </c>
      <c r="AA72">
        <f t="shared" si="5"/>
        <v>164</v>
      </c>
      <c r="AB72" t="s">
        <v>34</v>
      </c>
      <c r="AC72" t="s">
        <v>608</v>
      </c>
      <c r="AD72" t="s">
        <v>173</v>
      </c>
      <c r="AE72" t="s">
        <v>46</v>
      </c>
      <c r="AF72" t="s">
        <v>136</v>
      </c>
      <c r="AG72" t="s">
        <v>29</v>
      </c>
      <c r="AH72" t="s">
        <v>89</v>
      </c>
    </row>
    <row r="73" spans="1:34" x14ac:dyDescent="0.25">
      <c r="A73" t="s">
        <v>125</v>
      </c>
      <c r="B73" t="s">
        <v>63</v>
      </c>
      <c r="C73" t="s">
        <v>30</v>
      </c>
      <c r="D73" t="s">
        <v>30</v>
      </c>
      <c r="E73" t="s">
        <v>126</v>
      </c>
      <c r="F73" t="s">
        <v>29</v>
      </c>
      <c r="G73" t="s">
        <v>31</v>
      </c>
      <c r="H73" t="s">
        <v>127</v>
      </c>
      <c r="I73" t="str">
        <f t="shared" si="3"/>
        <v>K6131-SAI</v>
      </c>
      <c r="J73" s="2">
        <v>46037</v>
      </c>
      <c r="K73" t="s">
        <v>128</v>
      </c>
      <c r="L73" t="s">
        <v>528</v>
      </c>
      <c r="M73" t="s">
        <v>339</v>
      </c>
      <c r="N73" t="s">
        <v>422</v>
      </c>
      <c r="O73">
        <v>56</v>
      </c>
      <c r="P73" t="s">
        <v>29</v>
      </c>
      <c r="Q73" t="s">
        <v>85</v>
      </c>
      <c r="R73" t="s">
        <v>131</v>
      </c>
      <c r="S73" t="s">
        <v>127</v>
      </c>
      <c r="T73" t="str">
        <f t="shared" si="4"/>
        <v>K6130-SAI</v>
      </c>
      <c r="U73" s="2">
        <v>46037</v>
      </c>
      <c r="V73" t="s">
        <v>69</v>
      </c>
      <c r="W73" t="s">
        <v>345</v>
      </c>
      <c r="X73" t="s">
        <v>196</v>
      </c>
      <c r="Y73" t="s">
        <v>135</v>
      </c>
      <c r="Z73" t="s">
        <v>532</v>
      </c>
      <c r="AA73">
        <f t="shared" si="5"/>
        <v>56</v>
      </c>
      <c r="AB73" t="s">
        <v>34</v>
      </c>
      <c r="AC73" t="s">
        <v>532</v>
      </c>
      <c r="AD73" t="s">
        <v>173</v>
      </c>
      <c r="AE73" t="s">
        <v>46</v>
      </c>
      <c r="AF73" t="s">
        <v>100</v>
      </c>
      <c r="AG73" t="s">
        <v>29</v>
      </c>
      <c r="AH73" t="s">
        <v>89</v>
      </c>
    </row>
    <row r="74" spans="1:34" x14ac:dyDescent="0.25">
      <c r="A74" t="s">
        <v>356</v>
      </c>
      <c r="B74" t="s">
        <v>63</v>
      </c>
      <c r="C74" t="s">
        <v>30</v>
      </c>
      <c r="D74" t="s">
        <v>30</v>
      </c>
      <c r="E74" t="s">
        <v>126</v>
      </c>
      <c r="F74" t="s">
        <v>29</v>
      </c>
      <c r="G74" t="s">
        <v>31</v>
      </c>
      <c r="H74" t="s">
        <v>127</v>
      </c>
      <c r="I74" t="str">
        <f t="shared" si="3"/>
        <v>K6135-SAI</v>
      </c>
      <c r="J74" s="2">
        <v>46037</v>
      </c>
      <c r="K74" t="s">
        <v>250</v>
      </c>
      <c r="L74" t="s">
        <v>29</v>
      </c>
      <c r="M74" t="s">
        <v>250</v>
      </c>
      <c r="N74" t="s">
        <v>652</v>
      </c>
      <c r="O74">
        <v>49</v>
      </c>
      <c r="P74" t="s">
        <v>29</v>
      </c>
      <c r="Q74" t="s">
        <v>85</v>
      </c>
      <c r="R74" t="s">
        <v>70</v>
      </c>
      <c r="S74" t="s">
        <v>71</v>
      </c>
      <c r="T74" t="str">
        <f t="shared" si="4"/>
        <v>K6838-SGN</v>
      </c>
      <c r="U74" s="2">
        <v>46037</v>
      </c>
      <c r="V74" t="s">
        <v>234</v>
      </c>
      <c r="W74" t="s">
        <v>653</v>
      </c>
      <c r="X74" t="s">
        <v>654</v>
      </c>
      <c r="Y74" t="s">
        <v>319</v>
      </c>
      <c r="Z74" t="s">
        <v>275</v>
      </c>
      <c r="AA74">
        <f t="shared" si="5"/>
        <v>67</v>
      </c>
      <c r="AB74" t="s">
        <v>34</v>
      </c>
      <c r="AC74" t="s">
        <v>276</v>
      </c>
      <c r="AD74" t="s">
        <v>173</v>
      </c>
      <c r="AE74" t="s">
        <v>46</v>
      </c>
      <c r="AF74" t="s">
        <v>136</v>
      </c>
      <c r="AG74" t="s">
        <v>29</v>
      </c>
      <c r="AH74" t="s">
        <v>89</v>
      </c>
    </row>
    <row r="75" spans="1:34" x14ac:dyDescent="0.25">
      <c r="A75" t="s">
        <v>62</v>
      </c>
      <c r="B75" t="s">
        <v>63</v>
      </c>
      <c r="C75" t="s">
        <v>30</v>
      </c>
      <c r="D75" t="s">
        <v>30</v>
      </c>
      <c r="E75" t="s">
        <v>154</v>
      </c>
      <c r="F75" t="s">
        <v>29</v>
      </c>
      <c r="G75" t="s">
        <v>64</v>
      </c>
      <c r="H75" t="s">
        <v>33</v>
      </c>
      <c r="I75" t="str">
        <f t="shared" si="3"/>
        <v>K6931-SZX</v>
      </c>
      <c r="J75" s="2">
        <v>46038</v>
      </c>
      <c r="K75" t="s">
        <v>65</v>
      </c>
      <c r="L75" t="s">
        <v>29</v>
      </c>
      <c r="M75" t="s">
        <v>600</v>
      </c>
      <c r="N75" t="s">
        <v>601</v>
      </c>
      <c r="O75">
        <v>112</v>
      </c>
      <c r="P75" t="s">
        <v>29</v>
      </c>
      <c r="Q75" t="s">
        <v>85</v>
      </c>
      <c r="R75" t="s">
        <v>70</v>
      </c>
      <c r="S75" t="s">
        <v>71</v>
      </c>
      <c r="T75" t="str">
        <f t="shared" si="4"/>
        <v>K6838-SGN</v>
      </c>
      <c r="U75" s="2">
        <v>46038</v>
      </c>
      <c r="V75" t="s">
        <v>255</v>
      </c>
      <c r="W75" t="s">
        <v>420</v>
      </c>
      <c r="X75" t="s">
        <v>397</v>
      </c>
      <c r="Y75" t="s">
        <v>190</v>
      </c>
      <c r="Z75" t="s">
        <v>373</v>
      </c>
      <c r="AA75">
        <f t="shared" si="5"/>
        <v>175</v>
      </c>
      <c r="AB75" t="s">
        <v>34</v>
      </c>
      <c r="AC75" t="s">
        <v>373</v>
      </c>
      <c r="AD75" t="s">
        <v>173</v>
      </c>
      <c r="AE75" t="s">
        <v>46</v>
      </c>
      <c r="AF75" t="s">
        <v>136</v>
      </c>
      <c r="AG75" t="s">
        <v>29</v>
      </c>
      <c r="AH75" t="s">
        <v>89</v>
      </c>
    </row>
    <row r="76" spans="1:34" x14ac:dyDescent="0.25">
      <c r="A76" t="s">
        <v>615</v>
      </c>
      <c r="B76" t="s">
        <v>51</v>
      </c>
      <c r="C76" t="s">
        <v>42</v>
      </c>
      <c r="D76" t="s">
        <v>37</v>
      </c>
      <c r="E76" t="s">
        <v>616</v>
      </c>
      <c r="F76" t="s">
        <v>29</v>
      </c>
      <c r="G76" t="s">
        <v>617</v>
      </c>
      <c r="H76" t="s">
        <v>543</v>
      </c>
      <c r="I76" t="str">
        <f t="shared" si="3"/>
        <v>GN068-DMK</v>
      </c>
      <c r="J76" s="2">
        <v>46038</v>
      </c>
      <c r="K76" t="s">
        <v>198</v>
      </c>
      <c r="L76" t="s">
        <v>575</v>
      </c>
      <c r="M76" t="s">
        <v>575</v>
      </c>
      <c r="N76" t="s">
        <v>203</v>
      </c>
      <c r="O76">
        <v>3</v>
      </c>
      <c r="P76" t="s">
        <v>29</v>
      </c>
      <c r="Q76" t="s">
        <v>85</v>
      </c>
      <c r="R76" t="s">
        <v>618</v>
      </c>
      <c r="S76" t="s">
        <v>543</v>
      </c>
      <c r="T76" t="str">
        <f t="shared" si="4"/>
        <v>GN069-DMK</v>
      </c>
      <c r="U76" s="2">
        <v>46038</v>
      </c>
      <c r="V76" t="s">
        <v>522</v>
      </c>
      <c r="W76" t="s">
        <v>619</v>
      </c>
      <c r="X76" t="s">
        <v>620</v>
      </c>
      <c r="Y76" t="s">
        <v>29</v>
      </c>
      <c r="Z76" t="s">
        <v>34</v>
      </c>
      <c r="AA76">
        <f t="shared" si="5"/>
        <v>1</v>
      </c>
      <c r="AB76" t="s">
        <v>29</v>
      </c>
      <c r="AC76" t="s">
        <v>29</v>
      </c>
      <c r="AD76" t="s">
        <v>100</v>
      </c>
      <c r="AE76" t="s">
        <v>46</v>
      </c>
      <c r="AF76" t="s">
        <v>29</v>
      </c>
      <c r="AG76" t="s">
        <v>29</v>
      </c>
      <c r="AH76" t="s">
        <v>89</v>
      </c>
    </row>
    <row r="77" spans="1:34" x14ac:dyDescent="0.25">
      <c r="A77" t="s">
        <v>188</v>
      </c>
      <c r="B77" t="s">
        <v>189</v>
      </c>
      <c r="C77" t="s">
        <v>30</v>
      </c>
      <c r="D77" t="s">
        <v>30</v>
      </c>
      <c r="E77" t="s">
        <v>647</v>
      </c>
      <c r="F77" t="s">
        <v>29</v>
      </c>
      <c r="G77" t="s">
        <v>286</v>
      </c>
      <c r="H77" t="s">
        <v>47</v>
      </c>
      <c r="I77" t="str">
        <f t="shared" si="3"/>
        <v>AK264-KUL</v>
      </c>
      <c r="J77" s="2">
        <v>46038</v>
      </c>
      <c r="K77" t="s">
        <v>205</v>
      </c>
      <c r="L77" t="s">
        <v>504</v>
      </c>
      <c r="M77" t="s">
        <v>248</v>
      </c>
      <c r="N77" t="s">
        <v>358</v>
      </c>
      <c r="O77">
        <v>137</v>
      </c>
      <c r="P77" t="s">
        <v>29</v>
      </c>
      <c r="Q77" t="s">
        <v>85</v>
      </c>
      <c r="R77" t="s">
        <v>195</v>
      </c>
      <c r="S77" t="s">
        <v>47</v>
      </c>
      <c r="T77" t="str">
        <f t="shared" si="4"/>
        <v>AK265-KUL</v>
      </c>
      <c r="U77" s="2">
        <v>46038</v>
      </c>
      <c r="V77" t="s">
        <v>215</v>
      </c>
      <c r="W77" t="s">
        <v>249</v>
      </c>
      <c r="X77" t="s">
        <v>239</v>
      </c>
      <c r="Y77" t="s">
        <v>29</v>
      </c>
      <c r="Z77" t="s">
        <v>307</v>
      </c>
      <c r="AA77">
        <f t="shared" si="5"/>
        <v>179</v>
      </c>
      <c r="AB77" t="s">
        <v>34</v>
      </c>
      <c r="AC77" t="s">
        <v>307</v>
      </c>
      <c r="AD77" t="s">
        <v>173</v>
      </c>
      <c r="AE77" t="s">
        <v>46</v>
      </c>
      <c r="AF77" t="s">
        <v>100</v>
      </c>
      <c r="AG77" t="s">
        <v>29</v>
      </c>
      <c r="AH77" t="s">
        <v>89</v>
      </c>
    </row>
    <row r="78" spans="1:34" x14ac:dyDescent="0.25">
      <c r="A78" t="s">
        <v>125</v>
      </c>
      <c r="B78" t="s">
        <v>63</v>
      </c>
      <c r="C78" t="s">
        <v>30</v>
      </c>
      <c r="D78" t="s">
        <v>30</v>
      </c>
      <c r="E78" t="s">
        <v>144</v>
      </c>
      <c r="F78" t="s">
        <v>29</v>
      </c>
      <c r="G78" t="s">
        <v>31</v>
      </c>
      <c r="H78" t="s">
        <v>127</v>
      </c>
      <c r="I78" t="str">
        <f t="shared" si="3"/>
        <v>K6131-SAI</v>
      </c>
      <c r="J78" s="2">
        <v>46038</v>
      </c>
      <c r="K78" t="s">
        <v>128</v>
      </c>
      <c r="L78" t="s">
        <v>164</v>
      </c>
      <c r="M78" t="s">
        <v>678</v>
      </c>
      <c r="N78" t="s">
        <v>679</v>
      </c>
      <c r="O78">
        <v>72</v>
      </c>
      <c r="P78" t="s">
        <v>164</v>
      </c>
      <c r="Q78" t="s">
        <v>85</v>
      </c>
      <c r="R78" t="s">
        <v>131</v>
      </c>
      <c r="S78" t="s">
        <v>127</v>
      </c>
      <c r="T78" t="str">
        <f t="shared" si="4"/>
        <v>K6130-SAI</v>
      </c>
      <c r="U78" s="2">
        <v>46038</v>
      </c>
      <c r="V78" t="s">
        <v>69</v>
      </c>
      <c r="W78" t="s">
        <v>680</v>
      </c>
      <c r="X78" t="s">
        <v>87</v>
      </c>
      <c r="Y78" t="s">
        <v>365</v>
      </c>
      <c r="Z78" t="s">
        <v>332</v>
      </c>
      <c r="AA78">
        <f t="shared" si="5"/>
        <v>57</v>
      </c>
      <c r="AB78" t="s">
        <v>34</v>
      </c>
      <c r="AC78" t="s">
        <v>532</v>
      </c>
      <c r="AD78" t="s">
        <v>90</v>
      </c>
      <c r="AE78" t="s">
        <v>46</v>
      </c>
      <c r="AF78" t="s">
        <v>136</v>
      </c>
      <c r="AG78" t="s">
        <v>664</v>
      </c>
      <c r="AH78" t="s">
        <v>89</v>
      </c>
    </row>
    <row r="79" spans="1:34" x14ac:dyDescent="0.25">
      <c r="A79" t="s">
        <v>170</v>
      </c>
      <c r="B79" t="s">
        <v>102</v>
      </c>
      <c r="C79" t="s">
        <v>30</v>
      </c>
      <c r="D79" t="s">
        <v>30</v>
      </c>
      <c r="E79" t="s">
        <v>596</v>
      </c>
      <c r="F79" t="s">
        <v>29</v>
      </c>
      <c r="G79" t="s">
        <v>104</v>
      </c>
      <c r="H79" t="s">
        <v>172</v>
      </c>
      <c r="I79" t="str">
        <f t="shared" si="3"/>
        <v>DR5029-KMG</v>
      </c>
      <c r="J79" s="2">
        <v>46039</v>
      </c>
      <c r="K79" t="s">
        <v>174</v>
      </c>
      <c r="L79" t="s">
        <v>156</v>
      </c>
      <c r="M79" t="s">
        <v>362</v>
      </c>
      <c r="N79" t="s">
        <v>50</v>
      </c>
      <c r="O79">
        <v>93</v>
      </c>
      <c r="P79" t="s">
        <v>29</v>
      </c>
      <c r="Q79" t="s">
        <v>85</v>
      </c>
      <c r="R79" t="s">
        <v>178</v>
      </c>
      <c r="S79" t="s">
        <v>172</v>
      </c>
      <c r="T79" t="str">
        <f t="shared" si="4"/>
        <v>DR5030-KMG</v>
      </c>
      <c r="U79" s="2">
        <v>46039</v>
      </c>
      <c r="V79" t="s">
        <v>179</v>
      </c>
      <c r="W79" t="s">
        <v>597</v>
      </c>
      <c r="X79" t="s">
        <v>145</v>
      </c>
      <c r="Y79" t="s">
        <v>370</v>
      </c>
      <c r="Z79" t="s">
        <v>579</v>
      </c>
      <c r="AA79">
        <f t="shared" si="5"/>
        <v>173</v>
      </c>
      <c r="AB79" t="s">
        <v>34</v>
      </c>
      <c r="AC79" t="s">
        <v>579</v>
      </c>
      <c r="AD79" t="s">
        <v>173</v>
      </c>
      <c r="AE79" t="s">
        <v>46</v>
      </c>
      <c r="AF79" t="s">
        <v>100</v>
      </c>
      <c r="AG79" t="s">
        <v>29</v>
      </c>
      <c r="AH79" t="s">
        <v>89</v>
      </c>
    </row>
    <row r="80" spans="1:34" x14ac:dyDescent="0.25">
      <c r="A80" t="s">
        <v>222</v>
      </c>
      <c r="B80" t="s">
        <v>223</v>
      </c>
      <c r="C80" t="s">
        <v>30</v>
      </c>
      <c r="D80" t="s">
        <v>30</v>
      </c>
      <c r="E80" t="s">
        <v>294</v>
      </c>
      <c r="F80" t="s">
        <v>29</v>
      </c>
      <c r="G80" t="s">
        <v>38</v>
      </c>
      <c r="H80" t="s">
        <v>47</v>
      </c>
      <c r="I80" t="str">
        <f t="shared" si="3"/>
        <v>KT174-KUL</v>
      </c>
      <c r="J80" s="2">
        <v>46039</v>
      </c>
      <c r="K80" t="s">
        <v>264</v>
      </c>
      <c r="L80" t="s">
        <v>300</v>
      </c>
      <c r="M80" t="s">
        <v>604</v>
      </c>
      <c r="N80" t="s">
        <v>602</v>
      </c>
      <c r="O80">
        <v>142</v>
      </c>
      <c r="P80" t="s">
        <v>29</v>
      </c>
      <c r="Q80" t="s">
        <v>85</v>
      </c>
      <c r="R80" t="s">
        <v>226</v>
      </c>
      <c r="S80" t="s">
        <v>47</v>
      </c>
      <c r="T80" t="str">
        <f t="shared" si="4"/>
        <v>KT175-KUL</v>
      </c>
      <c r="U80" s="2">
        <v>46039</v>
      </c>
      <c r="V80" t="s">
        <v>227</v>
      </c>
      <c r="W80" t="s">
        <v>583</v>
      </c>
      <c r="X80" t="s">
        <v>427</v>
      </c>
      <c r="Y80" t="s">
        <v>297</v>
      </c>
      <c r="Z80" t="s">
        <v>190</v>
      </c>
      <c r="AA80">
        <f t="shared" si="5"/>
        <v>181</v>
      </c>
      <c r="AB80" t="s">
        <v>34</v>
      </c>
      <c r="AC80" t="s">
        <v>272</v>
      </c>
      <c r="AD80" t="s">
        <v>173</v>
      </c>
      <c r="AE80" t="s">
        <v>46</v>
      </c>
      <c r="AF80" t="s">
        <v>100</v>
      </c>
      <c r="AG80" t="s">
        <v>29</v>
      </c>
      <c r="AH80" t="s">
        <v>89</v>
      </c>
    </row>
    <row r="81" spans="1:34" x14ac:dyDescent="0.25">
      <c r="A81" t="s">
        <v>125</v>
      </c>
      <c r="B81" t="s">
        <v>63</v>
      </c>
      <c r="C81" t="s">
        <v>30</v>
      </c>
      <c r="D81" t="s">
        <v>30</v>
      </c>
      <c r="E81" t="s">
        <v>126</v>
      </c>
      <c r="F81" t="s">
        <v>29</v>
      </c>
      <c r="G81" t="s">
        <v>31</v>
      </c>
      <c r="H81" t="s">
        <v>127</v>
      </c>
      <c r="I81" t="str">
        <f t="shared" si="3"/>
        <v>K6131-SAI</v>
      </c>
      <c r="J81" s="2">
        <v>46039</v>
      </c>
      <c r="K81" t="s">
        <v>128</v>
      </c>
      <c r="L81" t="s">
        <v>580</v>
      </c>
      <c r="M81" t="s">
        <v>580</v>
      </c>
      <c r="N81" t="s">
        <v>642</v>
      </c>
      <c r="O81">
        <v>70</v>
      </c>
      <c r="P81" t="s">
        <v>29</v>
      </c>
      <c r="Q81" t="s">
        <v>85</v>
      </c>
      <c r="R81" t="s">
        <v>131</v>
      </c>
      <c r="S81" t="s">
        <v>127</v>
      </c>
      <c r="T81" t="str">
        <f t="shared" si="4"/>
        <v>K6130-SAI</v>
      </c>
      <c r="U81" s="2">
        <v>46039</v>
      </c>
      <c r="V81" t="s">
        <v>69</v>
      </c>
      <c r="W81" t="s">
        <v>347</v>
      </c>
      <c r="X81" t="s">
        <v>199</v>
      </c>
      <c r="Y81" t="s">
        <v>134</v>
      </c>
      <c r="Z81" t="s">
        <v>332</v>
      </c>
      <c r="AA81">
        <f t="shared" si="5"/>
        <v>57</v>
      </c>
      <c r="AB81" t="s">
        <v>34</v>
      </c>
      <c r="AC81" t="s">
        <v>332</v>
      </c>
      <c r="AD81" t="s">
        <v>90</v>
      </c>
      <c r="AE81" t="s">
        <v>46</v>
      </c>
      <c r="AF81" t="s">
        <v>136</v>
      </c>
      <c r="AG81" t="s">
        <v>29</v>
      </c>
      <c r="AH81" t="s">
        <v>89</v>
      </c>
    </row>
    <row r="82" spans="1:34" x14ac:dyDescent="0.25">
      <c r="A82" t="s">
        <v>72</v>
      </c>
      <c r="B82" t="s">
        <v>63</v>
      </c>
      <c r="C82" t="s">
        <v>30</v>
      </c>
      <c r="D82" t="s">
        <v>30</v>
      </c>
      <c r="E82" t="s">
        <v>144</v>
      </c>
      <c r="F82" t="s">
        <v>29</v>
      </c>
      <c r="G82" t="s">
        <v>31</v>
      </c>
      <c r="H82" t="s">
        <v>71</v>
      </c>
      <c r="I82" t="str">
        <f t="shared" si="3"/>
        <v>K6839-SGN</v>
      </c>
      <c r="J82" s="2">
        <v>46039</v>
      </c>
      <c r="K82" t="s">
        <v>312</v>
      </c>
      <c r="L82" t="s">
        <v>655</v>
      </c>
      <c r="M82" t="s">
        <v>656</v>
      </c>
      <c r="N82" t="s">
        <v>657</v>
      </c>
      <c r="O82">
        <v>42</v>
      </c>
      <c r="P82" t="s">
        <v>29</v>
      </c>
      <c r="Q82" t="s">
        <v>85</v>
      </c>
      <c r="R82" t="s">
        <v>70</v>
      </c>
      <c r="S82" t="s">
        <v>71</v>
      </c>
      <c r="T82" t="str">
        <f t="shared" si="4"/>
        <v>K6838-SGN</v>
      </c>
      <c r="U82" s="2">
        <v>46039</v>
      </c>
      <c r="V82" t="s">
        <v>316</v>
      </c>
      <c r="W82" t="s">
        <v>658</v>
      </c>
      <c r="X82" t="s">
        <v>659</v>
      </c>
      <c r="Y82" t="s">
        <v>319</v>
      </c>
      <c r="Z82" t="s">
        <v>320</v>
      </c>
      <c r="AA82">
        <f t="shared" si="5"/>
        <v>69</v>
      </c>
      <c r="AB82" t="s">
        <v>34</v>
      </c>
      <c r="AC82" t="s">
        <v>367</v>
      </c>
      <c r="AD82" t="s">
        <v>173</v>
      </c>
      <c r="AE82" t="s">
        <v>46</v>
      </c>
      <c r="AF82" t="s">
        <v>136</v>
      </c>
      <c r="AG82" t="s">
        <v>29</v>
      </c>
      <c r="AH82" t="s">
        <v>89</v>
      </c>
    </row>
    <row r="83" spans="1:34" x14ac:dyDescent="0.25">
      <c r="A83" t="s">
        <v>143</v>
      </c>
      <c r="B83" t="s">
        <v>63</v>
      </c>
      <c r="C83" t="s">
        <v>30</v>
      </c>
      <c r="D83" t="s">
        <v>30</v>
      </c>
      <c r="E83" t="s">
        <v>163</v>
      </c>
      <c r="F83" t="s">
        <v>29</v>
      </c>
      <c r="G83" t="s">
        <v>31</v>
      </c>
      <c r="H83" t="s">
        <v>127</v>
      </c>
      <c r="I83" t="str">
        <f t="shared" si="3"/>
        <v>K6133-SAI</v>
      </c>
      <c r="J83" s="2">
        <v>46039</v>
      </c>
      <c r="K83" t="s">
        <v>145</v>
      </c>
      <c r="L83" t="s">
        <v>681</v>
      </c>
      <c r="M83" t="s">
        <v>682</v>
      </c>
      <c r="N83" t="s">
        <v>683</v>
      </c>
      <c r="O83">
        <v>42</v>
      </c>
      <c r="P83" t="s">
        <v>29</v>
      </c>
      <c r="Q83" t="s">
        <v>85</v>
      </c>
      <c r="R83" t="s">
        <v>149</v>
      </c>
      <c r="S83" t="s">
        <v>127</v>
      </c>
      <c r="T83" t="str">
        <f t="shared" si="4"/>
        <v>K6132-SAI</v>
      </c>
      <c r="U83" s="2">
        <v>46039</v>
      </c>
      <c r="V83" t="s">
        <v>150</v>
      </c>
      <c r="W83" t="s">
        <v>684</v>
      </c>
      <c r="X83" t="s">
        <v>363</v>
      </c>
      <c r="Y83" t="s">
        <v>460</v>
      </c>
      <c r="Z83" t="s">
        <v>352</v>
      </c>
      <c r="AA83">
        <f t="shared" si="5"/>
        <v>54</v>
      </c>
      <c r="AB83" t="s">
        <v>34</v>
      </c>
      <c r="AC83" t="s">
        <v>352</v>
      </c>
      <c r="AD83" t="s">
        <v>173</v>
      </c>
      <c r="AE83" t="s">
        <v>46</v>
      </c>
      <c r="AF83" t="s">
        <v>100</v>
      </c>
      <c r="AG83" t="s">
        <v>29</v>
      </c>
      <c r="AH83" t="s">
        <v>89</v>
      </c>
    </row>
    <row r="84" spans="1:34" x14ac:dyDescent="0.25">
      <c r="A84" t="s">
        <v>101</v>
      </c>
      <c r="B84" t="s">
        <v>102</v>
      </c>
      <c r="C84" t="s">
        <v>30</v>
      </c>
      <c r="D84" t="s">
        <v>30</v>
      </c>
      <c r="E84" t="s">
        <v>280</v>
      </c>
      <c r="F84" t="s">
        <v>29</v>
      </c>
      <c r="G84" t="s">
        <v>104</v>
      </c>
      <c r="H84" t="s">
        <v>105</v>
      </c>
      <c r="I84" t="str">
        <f t="shared" si="3"/>
        <v>DR5031-WUX</v>
      </c>
      <c r="J84" s="2">
        <v>46040</v>
      </c>
      <c r="K84" t="s">
        <v>106</v>
      </c>
      <c r="L84" t="s">
        <v>462</v>
      </c>
      <c r="M84" t="s">
        <v>637</v>
      </c>
      <c r="N84" t="s">
        <v>638</v>
      </c>
      <c r="O84">
        <v>88</v>
      </c>
      <c r="P84" t="s">
        <v>29</v>
      </c>
      <c r="Q84" t="s">
        <v>85</v>
      </c>
      <c r="R84" t="s">
        <v>110</v>
      </c>
      <c r="S84" t="s">
        <v>105</v>
      </c>
      <c r="T84" t="str">
        <f t="shared" si="4"/>
        <v>DR5032-WUX</v>
      </c>
      <c r="U84" s="2">
        <v>46040</v>
      </c>
      <c r="V84" t="s">
        <v>111</v>
      </c>
      <c r="W84" t="s">
        <v>393</v>
      </c>
      <c r="X84" t="s">
        <v>300</v>
      </c>
      <c r="Y84" t="s">
        <v>160</v>
      </c>
      <c r="Z84" t="s">
        <v>98</v>
      </c>
      <c r="AA84">
        <f t="shared" si="5"/>
        <v>157</v>
      </c>
      <c r="AB84" t="s">
        <v>34</v>
      </c>
      <c r="AC84" t="s">
        <v>98</v>
      </c>
      <c r="AD84" t="s">
        <v>173</v>
      </c>
      <c r="AE84" t="s">
        <v>46</v>
      </c>
      <c r="AF84" t="s">
        <v>90</v>
      </c>
      <c r="AG84" t="s">
        <v>29</v>
      </c>
      <c r="AH84" t="s">
        <v>89</v>
      </c>
    </row>
    <row r="85" spans="1:34" x14ac:dyDescent="0.25">
      <c r="A85" t="s">
        <v>188</v>
      </c>
      <c r="B85" t="s">
        <v>189</v>
      </c>
      <c r="C85" t="s">
        <v>30</v>
      </c>
      <c r="D85" t="s">
        <v>30</v>
      </c>
      <c r="E85" t="s">
        <v>577</v>
      </c>
      <c r="F85" t="s">
        <v>29</v>
      </c>
      <c r="G85" t="s">
        <v>38</v>
      </c>
      <c r="H85" t="s">
        <v>47</v>
      </c>
      <c r="I85" t="str">
        <f t="shared" si="3"/>
        <v>AK264-KUL</v>
      </c>
      <c r="J85" s="2">
        <v>46040</v>
      </c>
      <c r="K85" t="s">
        <v>205</v>
      </c>
      <c r="L85" t="s">
        <v>290</v>
      </c>
      <c r="M85" t="s">
        <v>201</v>
      </c>
      <c r="N85" t="s">
        <v>337</v>
      </c>
      <c r="O85">
        <v>127</v>
      </c>
      <c r="P85" t="s">
        <v>29</v>
      </c>
      <c r="Q85" t="s">
        <v>85</v>
      </c>
      <c r="R85" t="s">
        <v>195</v>
      </c>
      <c r="S85" t="s">
        <v>47</v>
      </c>
      <c r="T85" t="str">
        <f t="shared" si="4"/>
        <v>AK265-KUL</v>
      </c>
      <c r="U85" s="2">
        <v>46040</v>
      </c>
      <c r="V85" t="s">
        <v>215</v>
      </c>
      <c r="W85" t="s">
        <v>132</v>
      </c>
      <c r="X85" t="s">
        <v>133</v>
      </c>
      <c r="Y85" t="s">
        <v>297</v>
      </c>
      <c r="Z85" t="s">
        <v>404</v>
      </c>
      <c r="AA85">
        <f t="shared" si="5"/>
        <v>168</v>
      </c>
      <c r="AB85" t="s">
        <v>34</v>
      </c>
      <c r="AC85" t="s">
        <v>404</v>
      </c>
      <c r="AD85" t="s">
        <v>173</v>
      </c>
      <c r="AE85" t="s">
        <v>46</v>
      </c>
      <c r="AF85" t="s">
        <v>90</v>
      </c>
      <c r="AG85" t="s">
        <v>29</v>
      </c>
      <c r="AH85" t="s">
        <v>89</v>
      </c>
    </row>
    <row r="86" spans="1:34" x14ac:dyDescent="0.25">
      <c r="A86" t="s">
        <v>72</v>
      </c>
      <c r="B86" t="s">
        <v>63</v>
      </c>
      <c r="C86" t="s">
        <v>30</v>
      </c>
      <c r="D86" t="s">
        <v>30</v>
      </c>
      <c r="E86" t="s">
        <v>163</v>
      </c>
      <c r="F86" t="s">
        <v>29</v>
      </c>
      <c r="G86" t="s">
        <v>31</v>
      </c>
      <c r="H86" t="s">
        <v>71</v>
      </c>
      <c r="I86" t="str">
        <f t="shared" si="3"/>
        <v>K6839-SGN</v>
      </c>
      <c r="J86" s="2">
        <v>46040</v>
      </c>
      <c r="K86" t="s">
        <v>142</v>
      </c>
      <c r="L86" t="s">
        <v>655</v>
      </c>
      <c r="M86" t="s">
        <v>479</v>
      </c>
      <c r="N86" t="s">
        <v>461</v>
      </c>
      <c r="O86">
        <v>44</v>
      </c>
      <c r="P86" t="s">
        <v>29</v>
      </c>
      <c r="Q86" t="s">
        <v>85</v>
      </c>
      <c r="R86" t="s">
        <v>70</v>
      </c>
      <c r="S86" t="s">
        <v>71</v>
      </c>
      <c r="T86" t="str">
        <f t="shared" si="4"/>
        <v>K6838-SGN</v>
      </c>
      <c r="U86" s="2">
        <v>46040</v>
      </c>
      <c r="V86" t="s">
        <v>316</v>
      </c>
      <c r="W86" t="s">
        <v>462</v>
      </c>
      <c r="X86" t="s">
        <v>660</v>
      </c>
      <c r="Y86" t="s">
        <v>276</v>
      </c>
      <c r="Z86" t="s">
        <v>350</v>
      </c>
      <c r="AA86">
        <f t="shared" si="5"/>
        <v>70</v>
      </c>
      <c r="AB86" t="s">
        <v>34</v>
      </c>
      <c r="AC86" t="s">
        <v>350</v>
      </c>
      <c r="AD86" t="s">
        <v>90</v>
      </c>
      <c r="AE86" t="s">
        <v>46</v>
      </c>
      <c r="AF86" t="s">
        <v>136</v>
      </c>
      <c r="AG86" t="s">
        <v>29</v>
      </c>
      <c r="AH86" t="s">
        <v>89</v>
      </c>
    </row>
    <row r="87" spans="1:34" x14ac:dyDescent="0.25">
      <c r="A87" t="s">
        <v>125</v>
      </c>
      <c r="B87" t="s">
        <v>63</v>
      </c>
      <c r="C87" t="s">
        <v>30</v>
      </c>
      <c r="D87" t="s">
        <v>30</v>
      </c>
      <c r="E87" t="s">
        <v>126</v>
      </c>
      <c r="F87" t="s">
        <v>29</v>
      </c>
      <c r="G87" t="s">
        <v>31</v>
      </c>
      <c r="H87" t="s">
        <v>127</v>
      </c>
      <c r="I87" t="str">
        <f t="shared" si="3"/>
        <v>K6131-SAI</v>
      </c>
      <c r="J87" s="2">
        <v>46040</v>
      </c>
      <c r="K87" t="s">
        <v>481</v>
      </c>
      <c r="L87" t="s">
        <v>91</v>
      </c>
      <c r="M87" t="s">
        <v>578</v>
      </c>
      <c r="N87" t="s">
        <v>575</v>
      </c>
      <c r="O87">
        <v>67</v>
      </c>
      <c r="P87" t="s">
        <v>29</v>
      </c>
      <c r="Q87" t="s">
        <v>85</v>
      </c>
      <c r="R87" t="s">
        <v>131</v>
      </c>
      <c r="S87" t="s">
        <v>127</v>
      </c>
      <c r="T87" t="str">
        <f t="shared" si="4"/>
        <v>K6130-SAI</v>
      </c>
      <c r="U87" s="2">
        <v>46040</v>
      </c>
      <c r="V87" t="s">
        <v>133</v>
      </c>
      <c r="W87" t="s">
        <v>677</v>
      </c>
      <c r="X87" t="s">
        <v>257</v>
      </c>
      <c r="Y87" t="s">
        <v>320</v>
      </c>
      <c r="Z87" t="s">
        <v>184</v>
      </c>
      <c r="AA87">
        <f t="shared" si="5"/>
        <v>73</v>
      </c>
      <c r="AB87" t="s">
        <v>34</v>
      </c>
      <c r="AC87" t="s">
        <v>184</v>
      </c>
      <c r="AD87" t="s">
        <v>114</v>
      </c>
      <c r="AE87" t="s">
        <v>46</v>
      </c>
      <c r="AF87" t="s">
        <v>100</v>
      </c>
      <c r="AG87" t="s">
        <v>29</v>
      </c>
      <c r="AH87" t="s">
        <v>89</v>
      </c>
    </row>
    <row r="88" spans="1:34" x14ac:dyDescent="0.25">
      <c r="A88" t="s">
        <v>188</v>
      </c>
      <c r="B88" t="s">
        <v>189</v>
      </c>
      <c r="C88" t="s">
        <v>30</v>
      </c>
      <c r="D88" t="s">
        <v>30</v>
      </c>
      <c r="E88" t="s">
        <v>640</v>
      </c>
      <c r="F88" t="s">
        <v>29</v>
      </c>
      <c r="G88" t="s">
        <v>38</v>
      </c>
      <c r="H88" t="s">
        <v>47</v>
      </c>
      <c r="I88" t="str">
        <f t="shared" si="3"/>
        <v>AK264-KUL</v>
      </c>
      <c r="J88" s="2">
        <v>46041</v>
      </c>
      <c r="K88" t="s">
        <v>205</v>
      </c>
      <c r="L88" t="s">
        <v>430</v>
      </c>
      <c r="M88" t="s">
        <v>430</v>
      </c>
      <c r="N88" t="s">
        <v>122</v>
      </c>
      <c r="O88">
        <v>134</v>
      </c>
      <c r="P88" t="s">
        <v>29</v>
      </c>
      <c r="Q88" t="s">
        <v>85</v>
      </c>
      <c r="R88" t="s">
        <v>195</v>
      </c>
      <c r="S88" t="s">
        <v>47</v>
      </c>
      <c r="T88" t="str">
        <f t="shared" si="4"/>
        <v>AK265-KUL</v>
      </c>
      <c r="U88" s="2">
        <v>46041</v>
      </c>
      <c r="V88" t="s">
        <v>215</v>
      </c>
      <c r="W88" t="s">
        <v>641</v>
      </c>
      <c r="X88" t="s">
        <v>576</v>
      </c>
      <c r="Y88" t="s">
        <v>297</v>
      </c>
      <c r="Z88" t="s">
        <v>159</v>
      </c>
      <c r="AA88">
        <f t="shared" si="5"/>
        <v>165</v>
      </c>
      <c r="AB88" t="s">
        <v>34</v>
      </c>
      <c r="AC88" t="s">
        <v>159</v>
      </c>
      <c r="AD88" t="s">
        <v>173</v>
      </c>
      <c r="AE88" t="s">
        <v>46</v>
      </c>
      <c r="AF88" t="s">
        <v>90</v>
      </c>
      <c r="AG88" t="s">
        <v>29</v>
      </c>
      <c r="AH88" t="s">
        <v>89</v>
      </c>
    </row>
    <row r="89" spans="1:34" x14ac:dyDescent="0.25">
      <c r="A89" t="s">
        <v>356</v>
      </c>
      <c r="B89" t="s">
        <v>63</v>
      </c>
      <c r="C89" t="s">
        <v>30</v>
      </c>
      <c r="D89" t="s">
        <v>30</v>
      </c>
      <c r="E89" t="s">
        <v>126</v>
      </c>
      <c r="F89" t="s">
        <v>29</v>
      </c>
      <c r="G89" t="s">
        <v>31</v>
      </c>
      <c r="H89" t="s">
        <v>127</v>
      </c>
      <c r="I89" t="str">
        <f t="shared" si="3"/>
        <v>K6135-SAI</v>
      </c>
      <c r="J89" s="2">
        <v>46041</v>
      </c>
      <c r="K89" t="s">
        <v>648</v>
      </c>
      <c r="L89" t="s">
        <v>29</v>
      </c>
      <c r="M89" t="s">
        <v>649</v>
      </c>
      <c r="N89" t="s">
        <v>650</v>
      </c>
      <c r="O89">
        <v>44</v>
      </c>
      <c r="P89" t="s">
        <v>29</v>
      </c>
      <c r="Q89" t="s">
        <v>85</v>
      </c>
      <c r="R89" t="s">
        <v>70</v>
      </c>
      <c r="S89" t="s">
        <v>71</v>
      </c>
      <c r="T89" t="str">
        <f t="shared" si="4"/>
        <v>K6838-SGN</v>
      </c>
      <c r="U89" s="2">
        <v>46041</v>
      </c>
      <c r="V89" t="s">
        <v>58</v>
      </c>
      <c r="W89" t="s">
        <v>651</v>
      </c>
      <c r="X89" t="s">
        <v>542</v>
      </c>
      <c r="Y89" t="s">
        <v>275</v>
      </c>
      <c r="Z89" t="s">
        <v>184</v>
      </c>
      <c r="AA89">
        <f t="shared" si="5"/>
        <v>73</v>
      </c>
      <c r="AB89" t="s">
        <v>34</v>
      </c>
      <c r="AC89" t="s">
        <v>184</v>
      </c>
      <c r="AD89" t="s">
        <v>173</v>
      </c>
      <c r="AE89" t="s">
        <v>46</v>
      </c>
      <c r="AF89" t="s">
        <v>136</v>
      </c>
      <c r="AG89" t="s">
        <v>29</v>
      </c>
      <c r="AH89" t="s">
        <v>89</v>
      </c>
    </row>
    <row r="90" spans="1:34" x14ac:dyDescent="0.25">
      <c r="A90" t="s">
        <v>671</v>
      </c>
      <c r="B90" t="s">
        <v>51</v>
      </c>
      <c r="C90" t="s">
        <v>37</v>
      </c>
      <c r="D90" t="s">
        <v>42</v>
      </c>
      <c r="E90" t="s">
        <v>610</v>
      </c>
      <c r="F90" t="s">
        <v>29</v>
      </c>
      <c r="G90" t="s">
        <v>43</v>
      </c>
      <c r="H90" t="s">
        <v>672</v>
      </c>
      <c r="I90" t="str">
        <f t="shared" si="3"/>
        <v>GN072-HKG</v>
      </c>
      <c r="J90" s="2">
        <v>46041</v>
      </c>
      <c r="K90" t="s">
        <v>525</v>
      </c>
      <c r="L90" t="s">
        <v>638</v>
      </c>
      <c r="M90" t="s">
        <v>637</v>
      </c>
      <c r="N90" t="s">
        <v>638</v>
      </c>
      <c r="O90">
        <v>1</v>
      </c>
      <c r="P90" t="s">
        <v>29</v>
      </c>
      <c r="Q90" t="s">
        <v>85</v>
      </c>
      <c r="R90" t="s">
        <v>673</v>
      </c>
      <c r="S90" t="s">
        <v>60</v>
      </c>
      <c r="T90" t="str">
        <f t="shared" si="4"/>
        <v>GN073-XSP</v>
      </c>
      <c r="U90" s="2">
        <v>46041</v>
      </c>
      <c r="V90" t="s">
        <v>228</v>
      </c>
      <c r="W90" t="s">
        <v>674</v>
      </c>
      <c r="X90" t="s">
        <v>120</v>
      </c>
      <c r="Y90" t="s">
        <v>29</v>
      </c>
      <c r="Z90" t="s">
        <v>124</v>
      </c>
      <c r="AA90">
        <f t="shared" si="5"/>
        <v>12</v>
      </c>
      <c r="AB90" t="s">
        <v>34</v>
      </c>
      <c r="AC90" t="s">
        <v>124</v>
      </c>
      <c r="AD90" t="s">
        <v>114</v>
      </c>
      <c r="AE90" t="s">
        <v>46</v>
      </c>
      <c r="AF90" t="s">
        <v>29</v>
      </c>
      <c r="AG90" t="s">
        <v>29</v>
      </c>
      <c r="AH90" t="s">
        <v>89</v>
      </c>
    </row>
    <row r="91" spans="1:34" x14ac:dyDescent="0.25">
      <c r="A91" t="s">
        <v>125</v>
      </c>
      <c r="B91" t="s">
        <v>63</v>
      </c>
      <c r="C91" t="s">
        <v>30</v>
      </c>
      <c r="D91" t="s">
        <v>30</v>
      </c>
      <c r="E91" t="s">
        <v>126</v>
      </c>
      <c r="F91" t="s">
        <v>29</v>
      </c>
      <c r="G91" t="s">
        <v>31</v>
      </c>
      <c r="H91" t="s">
        <v>127</v>
      </c>
      <c r="I91" t="str">
        <f t="shared" si="3"/>
        <v>K6131-SAI</v>
      </c>
      <c r="J91" s="2">
        <v>46041</v>
      </c>
      <c r="K91" t="s">
        <v>481</v>
      </c>
      <c r="L91" t="s">
        <v>201</v>
      </c>
      <c r="M91" t="s">
        <v>201</v>
      </c>
      <c r="N91" t="s">
        <v>481</v>
      </c>
      <c r="O91">
        <v>52</v>
      </c>
      <c r="P91" t="s">
        <v>29</v>
      </c>
      <c r="Q91" t="s">
        <v>85</v>
      </c>
      <c r="R91" t="s">
        <v>131</v>
      </c>
      <c r="S91" t="s">
        <v>127</v>
      </c>
      <c r="T91" t="str">
        <f t="shared" si="4"/>
        <v>K6130-SAI</v>
      </c>
      <c r="U91" s="2">
        <v>46041</v>
      </c>
      <c r="V91" t="s">
        <v>133</v>
      </c>
      <c r="W91" t="s">
        <v>207</v>
      </c>
      <c r="X91" t="s">
        <v>675</v>
      </c>
      <c r="Y91" t="s">
        <v>367</v>
      </c>
      <c r="Z91" t="s">
        <v>177</v>
      </c>
      <c r="AA91">
        <f t="shared" si="5"/>
        <v>61</v>
      </c>
      <c r="AB91" t="s">
        <v>34</v>
      </c>
      <c r="AC91" t="s">
        <v>177</v>
      </c>
      <c r="AD91" t="s">
        <v>114</v>
      </c>
      <c r="AE91" t="s">
        <v>46</v>
      </c>
      <c r="AF91" t="s">
        <v>100</v>
      </c>
      <c r="AG91" t="s">
        <v>29</v>
      </c>
      <c r="AH91" t="s">
        <v>89</v>
      </c>
    </row>
    <row r="92" spans="1:34" x14ac:dyDescent="0.25">
      <c r="A92" t="s">
        <v>72</v>
      </c>
      <c r="B92" t="s">
        <v>63</v>
      </c>
      <c r="C92" t="s">
        <v>30</v>
      </c>
      <c r="D92" t="s">
        <v>30</v>
      </c>
      <c r="E92" t="s">
        <v>154</v>
      </c>
      <c r="F92" t="s">
        <v>29</v>
      </c>
      <c r="G92" t="s">
        <v>64</v>
      </c>
      <c r="H92" t="s">
        <v>71</v>
      </c>
      <c r="I92" t="str">
        <f t="shared" si="3"/>
        <v>K6839-SGN</v>
      </c>
      <c r="J92" s="2">
        <v>46041</v>
      </c>
      <c r="K92" t="s">
        <v>48</v>
      </c>
      <c r="L92" t="s">
        <v>29</v>
      </c>
      <c r="M92" t="s">
        <v>502</v>
      </c>
      <c r="N92" t="s">
        <v>570</v>
      </c>
      <c r="O92">
        <v>43</v>
      </c>
      <c r="P92" t="s">
        <v>29</v>
      </c>
      <c r="Q92" t="s">
        <v>85</v>
      </c>
      <c r="R92" t="s">
        <v>32</v>
      </c>
      <c r="S92" t="s">
        <v>33</v>
      </c>
      <c r="T92" t="str">
        <f t="shared" si="4"/>
        <v>K6930-SZX</v>
      </c>
      <c r="U92" s="2">
        <v>46041</v>
      </c>
      <c r="V92" t="s">
        <v>158</v>
      </c>
      <c r="W92" t="s">
        <v>327</v>
      </c>
      <c r="X92" t="s">
        <v>635</v>
      </c>
      <c r="Y92" t="s">
        <v>159</v>
      </c>
      <c r="Z92" t="s">
        <v>284</v>
      </c>
      <c r="AA92">
        <f t="shared" si="5"/>
        <v>160</v>
      </c>
      <c r="AB92" t="s">
        <v>34</v>
      </c>
      <c r="AC92" t="s">
        <v>99</v>
      </c>
      <c r="AD92" t="s">
        <v>173</v>
      </c>
      <c r="AE92" t="s">
        <v>46</v>
      </c>
      <c r="AF92" t="s">
        <v>136</v>
      </c>
      <c r="AG92" t="s">
        <v>29</v>
      </c>
      <c r="AH92" t="s">
        <v>89</v>
      </c>
    </row>
    <row r="93" spans="1:34" x14ac:dyDescent="0.25">
      <c r="A93" t="s">
        <v>62</v>
      </c>
      <c r="B93" t="s">
        <v>63</v>
      </c>
      <c r="C93" t="s">
        <v>30</v>
      </c>
      <c r="D93" t="s">
        <v>30</v>
      </c>
      <c r="E93" t="s">
        <v>154</v>
      </c>
      <c r="F93" t="s">
        <v>29</v>
      </c>
      <c r="G93" t="s">
        <v>64</v>
      </c>
      <c r="H93" t="s">
        <v>33</v>
      </c>
      <c r="I93" t="str">
        <f t="shared" si="3"/>
        <v>K6931-SZX</v>
      </c>
      <c r="J93" s="2">
        <v>46042</v>
      </c>
      <c r="K93" t="s">
        <v>65</v>
      </c>
      <c r="L93" t="s">
        <v>537</v>
      </c>
      <c r="M93" t="s">
        <v>593</v>
      </c>
      <c r="N93" t="s">
        <v>594</v>
      </c>
      <c r="O93">
        <v>75</v>
      </c>
      <c r="P93" t="s">
        <v>29</v>
      </c>
      <c r="Q93" t="s">
        <v>85</v>
      </c>
      <c r="R93" t="s">
        <v>70</v>
      </c>
      <c r="S93" t="s">
        <v>71</v>
      </c>
      <c r="T93" t="str">
        <f t="shared" si="4"/>
        <v>K6838-SGN</v>
      </c>
      <c r="U93" s="2">
        <v>46042</v>
      </c>
      <c r="V93" t="s">
        <v>255</v>
      </c>
      <c r="W93" t="s">
        <v>538</v>
      </c>
      <c r="X93" t="s">
        <v>595</v>
      </c>
      <c r="Y93" t="s">
        <v>298</v>
      </c>
      <c r="Z93" t="s">
        <v>404</v>
      </c>
      <c r="AA93">
        <f t="shared" si="5"/>
        <v>168</v>
      </c>
      <c r="AB93" t="s">
        <v>34</v>
      </c>
      <c r="AC93" t="s">
        <v>526</v>
      </c>
      <c r="AD93" t="s">
        <v>173</v>
      </c>
      <c r="AE93" t="s">
        <v>46</v>
      </c>
      <c r="AF93" t="s">
        <v>136</v>
      </c>
      <c r="AG93" t="s">
        <v>29</v>
      </c>
      <c r="AH93" t="s">
        <v>89</v>
      </c>
    </row>
    <row r="94" spans="1:34" x14ac:dyDescent="0.25">
      <c r="A94" t="s">
        <v>170</v>
      </c>
      <c r="B94" t="s">
        <v>102</v>
      </c>
      <c r="C94" t="s">
        <v>30</v>
      </c>
      <c r="D94" t="s">
        <v>30</v>
      </c>
      <c r="E94" t="s">
        <v>280</v>
      </c>
      <c r="F94" t="s">
        <v>29</v>
      </c>
      <c r="G94" t="s">
        <v>104</v>
      </c>
      <c r="H94" t="s">
        <v>172</v>
      </c>
      <c r="I94" t="str">
        <f t="shared" si="3"/>
        <v>DR5029-KMG</v>
      </c>
      <c r="J94" s="2">
        <v>46042</v>
      </c>
      <c r="K94" t="s">
        <v>174</v>
      </c>
      <c r="L94" t="s">
        <v>360</v>
      </c>
      <c r="M94" t="s">
        <v>48</v>
      </c>
      <c r="N94" t="s">
        <v>598</v>
      </c>
      <c r="O94">
        <v>69</v>
      </c>
      <c r="P94" t="s">
        <v>29</v>
      </c>
      <c r="Q94" t="s">
        <v>85</v>
      </c>
      <c r="R94" t="s">
        <v>178</v>
      </c>
      <c r="S94" t="s">
        <v>172</v>
      </c>
      <c r="T94" t="str">
        <f t="shared" si="4"/>
        <v>DR5030-KMG</v>
      </c>
      <c r="U94" s="2">
        <v>46042</v>
      </c>
      <c r="V94" t="s">
        <v>179</v>
      </c>
      <c r="W94" t="s">
        <v>322</v>
      </c>
      <c r="X94" t="s">
        <v>470</v>
      </c>
      <c r="Y94" t="s">
        <v>272</v>
      </c>
      <c r="Z94" t="s">
        <v>159</v>
      </c>
      <c r="AA94">
        <f t="shared" si="5"/>
        <v>165</v>
      </c>
      <c r="AB94" t="s">
        <v>34</v>
      </c>
      <c r="AC94" t="s">
        <v>599</v>
      </c>
      <c r="AD94" t="s">
        <v>173</v>
      </c>
      <c r="AE94" t="s">
        <v>46</v>
      </c>
      <c r="AF94" t="s">
        <v>136</v>
      </c>
      <c r="AG94" t="s">
        <v>29</v>
      </c>
      <c r="AH94" t="s">
        <v>89</v>
      </c>
    </row>
    <row r="95" spans="1:34" x14ac:dyDescent="0.25">
      <c r="A95" t="s">
        <v>222</v>
      </c>
      <c r="B95" t="s">
        <v>223</v>
      </c>
      <c r="C95" t="s">
        <v>30</v>
      </c>
      <c r="D95" t="s">
        <v>30</v>
      </c>
      <c r="E95" t="s">
        <v>294</v>
      </c>
      <c r="F95" t="s">
        <v>29</v>
      </c>
      <c r="G95" t="s">
        <v>38</v>
      </c>
      <c r="H95" t="s">
        <v>47</v>
      </c>
      <c r="I95" t="str">
        <f t="shared" si="3"/>
        <v>KT174-KUL</v>
      </c>
      <c r="J95" s="2">
        <v>46042</v>
      </c>
      <c r="K95" t="s">
        <v>264</v>
      </c>
      <c r="L95" t="s">
        <v>299</v>
      </c>
      <c r="M95" t="s">
        <v>602</v>
      </c>
      <c r="N95" t="s">
        <v>603</v>
      </c>
      <c r="O95">
        <v>110</v>
      </c>
      <c r="P95" t="s">
        <v>29</v>
      </c>
      <c r="Q95" t="s">
        <v>85</v>
      </c>
      <c r="R95" t="s">
        <v>226</v>
      </c>
      <c r="S95" t="s">
        <v>47</v>
      </c>
      <c r="T95" t="str">
        <f t="shared" si="4"/>
        <v>KT175-KUL</v>
      </c>
      <c r="U95" s="2">
        <v>46042</v>
      </c>
      <c r="V95" t="s">
        <v>227</v>
      </c>
      <c r="W95" t="s">
        <v>335</v>
      </c>
      <c r="X95" t="s">
        <v>428</v>
      </c>
      <c r="Y95" t="s">
        <v>297</v>
      </c>
      <c r="Z95" t="s">
        <v>99</v>
      </c>
      <c r="AA95">
        <f t="shared" si="5"/>
        <v>159</v>
      </c>
      <c r="AB95" t="s">
        <v>34</v>
      </c>
      <c r="AC95" t="s">
        <v>99</v>
      </c>
      <c r="AD95" t="s">
        <v>173</v>
      </c>
      <c r="AE95" t="s">
        <v>46</v>
      </c>
      <c r="AF95" t="s">
        <v>100</v>
      </c>
      <c r="AG95" t="s">
        <v>29</v>
      </c>
      <c r="AH95" t="s">
        <v>89</v>
      </c>
    </row>
    <row r="96" spans="1:34" x14ac:dyDescent="0.25">
      <c r="A96" t="s">
        <v>143</v>
      </c>
      <c r="B96" t="s">
        <v>63</v>
      </c>
      <c r="C96" t="s">
        <v>30</v>
      </c>
      <c r="D96" t="s">
        <v>30</v>
      </c>
      <c r="E96" t="s">
        <v>163</v>
      </c>
      <c r="F96" t="s">
        <v>29</v>
      </c>
      <c r="G96" t="s">
        <v>31</v>
      </c>
      <c r="H96" t="s">
        <v>127</v>
      </c>
      <c r="I96" t="str">
        <f t="shared" si="3"/>
        <v>K6133-SAI</v>
      </c>
      <c r="J96" s="2">
        <v>46042</v>
      </c>
      <c r="K96" t="s">
        <v>145</v>
      </c>
      <c r="L96" t="s">
        <v>622</v>
      </c>
      <c r="M96" t="s">
        <v>623</v>
      </c>
      <c r="N96" t="s">
        <v>622</v>
      </c>
      <c r="O96">
        <v>41</v>
      </c>
      <c r="P96" t="s">
        <v>29</v>
      </c>
      <c r="Q96" t="s">
        <v>85</v>
      </c>
      <c r="R96" t="s">
        <v>149</v>
      </c>
      <c r="S96" t="s">
        <v>127</v>
      </c>
      <c r="T96" t="str">
        <f t="shared" si="4"/>
        <v>K6132-SAI</v>
      </c>
      <c r="U96" s="2">
        <v>46042</v>
      </c>
      <c r="V96" t="s">
        <v>150</v>
      </c>
      <c r="W96" t="s">
        <v>624</v>
      </c>
      <c r="X96" t="s">
        <v>363</v>
      </c>
      <c r="Y96" t="s">
        <v>177</v>
      </c>
      <c r="Z96" t="s">
        <v>365</v>
      </c>
      <c r="AA96">
        <f t="shared" si="5"/>
        <v>58</v>
      </c>
      <c r="AB96" t="s">
        <v>34</v>
      </c>
      <c r="AC96" t="s">
        <v>365</v>
      </c>
      <c r="AD96" t="s">
        <v>173</v>
      </c>
      <c r="AE96" t="s">
        <v>46</v>
      </c>
      <c r="AF96" t="s">
        <v>100</v>
      </c>
      <c r="AG96" t="s">
        <v>29</v>
      </c>
      <c r="AH96" t="s">
        <v>89</v>
      </c>
    </row>
    <row r="97" spans="1:34" x14ac:dyDescent="0.25">
      <c r="A97" t="s">
        <v>73</v>
      </c>
      <c r="B97" t="s">
        <v>51</v>
      </c>
      <c r="C97" t="s">
        <v>42</v>
      </c>
      <c r="D97" t="s">
        <v>42</v>
      </c>
      <c r="E97" t="s">
        <v>546</v>
      </c>
      <c r="F97" t="s">
        <v>29</v>
      </c>
      <c r="G97" t="s">
        <v>547</v>
      </c>
      <c r="H97" t="s">
        <v>60</v>
      </c>
      <c r="I97" t="str">
        <f t="shared" si="3"/>
        <v>GN084-XSP</v>
      </c>
      <c r="J97" s="2">
        <v>46042</v>
      </c>
      <c r="K97" t="s">
        <v>76</v>
      </c>
      <c r="L97" t="s">
        <v>625</v>
      </c>
      <c r="M97" t="s">
        <v>626</v>
      </c>
      <c r="N97" t="s">
        <v>627</v>
      </c>
      <c r="O97">
        <v>8</v>
      </c>
      <c r="P97" t="s">
        <v>29</v>
      </c>
      <c r="Q97" t="s">
        <v>85</v>
      </c>
      <c r="R97" t="s">
        <v>628</v>
      </c>
      <c r="S97" t="s">
        <v>41</v>
      </c>
      <c r="T97" t="str">
        <f t="shared" si="4"/>
        <v>GN085-CGK</v>
      </c>
      <c r="U97" s="2">
        <v>46044</v>
      </c>
      <c r="V97" t="s">
        <v>52</v>
      </c>
      <c r="W97" t="s">
        <v>354</v>
      </c>
      <c r="X97" t="s">
        <v>248</v>
      </c>
      <c r="Y97" t="s">
        <v>29</v>
      </c>
      <c r="Z97" t="s">
        <v>629</v>
      </c>
      <c r="AA97">
        <f t="shared" si="5"/>
        <v>7</v>
      </c>
      <c r="AB97" t="s">
        <v>34</v>
      </c>
      <c r="AC97" t="s">
        <v>629</v>
      </c>
      <c r="AD97" t="s">
        <v>136</v>
      </c>
      <c r="AE97" t="s">
        <v>46</v>
      </c>
      <c r="AF97" t="s">
        <v>29</v>
      </c>
      <c r="AG97" t="s">
        <v>29</v>
      </c>
      <c r="AH97" t="s">
        <v>89</v>
      </c>
    </row>
    <row r="98" spans="1:34" x14ac:dyDescent="0.25">
      <c r="A98" t="s">
        <v>630</v>
      </c>
      <c r="B98" t="s">
        <v>51</v>
      </c>
      <c r="C98" t="s">
        <v>37</v>
      </c>
      <c r="D98" t="s">
        <v>42</v>
      </c>
      <c r="E98" t="s">
        <v>631</v>
      </c>
      <c r="F98" t="s">
        <v>29</v>
      </c>
      <c r="G98" t="s">
        <v>632</v>
      </c>
      <c r="H98" t="s">
        <v>71</v>
      </c>
      <c r="I98" t="str">
        <f t="shared" si="3"/>
        <v>GN082-SGN</v>
      </c>
      <c r="J98" s="2">
        <v>46042</v>
      </c>
      <c r="K98" t="s">
        <v>310</v>
      </c>
      <c r="L98" t="s">
        <v>29</v>
      </c>
      <c r="M98" t="s">
        <v>277</v>
      </c>
      <c r="N98" t="s">
        <v>259</v>
      </c>
      <c r="O98">
        <v>1</v>
      </c>
      <c r="P98" t="s">
        <v>29</v>
      </c>
      <c r="Q98" t="s">
        <v>85</v>
      </c>
      <c r="R98" t="s">
        <v>633</v>
      </c>
      <c r="S98" t="s">
        <v>44</v>
      </c>
      <c r="T98" t="str">
        <f t="shared" si="4"/>
        <v>GN083-SZB</v>
      </c>
      <c r="U98" s="2">
        <v>46042</v>
      </c>
      <c r="V98" t="s">
        <v>250</v>
      </c>
      <c r="W98" t="s">
        <v>634</v>
      </c>
      <c r="X98" t="s">
        <v>590</v>
      </c>
      <c r="Y98" t="s">
        <v>29</v>
      </c>
      <c r="Z98" t="s">
        <v>79</v>
      </c>
      <c r="AA98">
        <f t="shared" si="5"/>
        <v>13</v>
      </c>
      <c r="AB98" t="s">
        <v>34</v>
      </c>
      <c r="AC98" t="s">
        <v>79</v>
      </c>
      <c r="AD98" t="s">
        <v>90</v>
      </c>
      <c r="AE98" t="s">
        <v>46</v>
      </c>
      <c r="AF98" t="s">
        <v>29</v>
      </c>
      <c r="AG98" t="s">
        <v>29</v>
      </c>
      <c r="AH98" t="s">
        <v>89</v>
      </c>
    </row>
    <row r="99" spans="1:34" x14ac:dyDescent="0.25">
      <c r="A99" t="s">
        <v>125</v>
      </c>
      <c r="B99" t="s">
        <v>63</v>
      </c>
      <c r="C99" t="s">
        <v>30</v>
      </c>
      <c r="D99" t="s">
        <v>30</v>
      </c>
      <c r="E99" t="s">
        <v>126</v>
      </c>
      <c r="F99" t="s">
        <v>29</v>
      </c>
      <c r="G99" t="s">
        <v>31</v>
      </c>
      <c r="H99" t="s">
        <v>127</v>
      </c>
      <c r="I99" t="str">
        <f t="shared" si="3"/>
        <v>K6131-SAI</v>
      </c>
      <c r="J99" s="2">
        <v>46042</v>
      </c>
      <c r="K99" t="s">
        <v>128</v>
      </c>
      <c r="L99" t="s">
        <v>530</v>
      </c>
      <c r="M99" t="s">
        <v>436</v>
      </c>
      <c r="N99" t="s">
        <v>530</v>
      </c>
      <c r="O99">
        <v>70</v>
      </c>
      <c r="P99" t="s">
        <v>29</v>
      </c>
      <c r="Q99" t="s">
        <v>85</v>
      </c>
      <c r="R99" t="s">
        <v>131</v>
      </c>
      <c r="S99" t="s">
        <v>127</v>
      </c>
      <c r="T99" t="str">
        <f t="shared" si="4"/>
        <v>K6130-SAI</v>
      </c>
      <c r="U99" s="2">
        <v>46042</v>
      </c>
      <c r="V99" t="s">
        <v>69</v>
      </c>
      <c r="W99" t="s">
        <v>639</v>
      </c>
      <c r="X99" t="s">
        <v>123</v>
      </c>
      <c r="Y99" t="s">
        <v>367</v>
      </c>
      <c r="Z99" t="s">
        <v>319</v>
      </c>
      <c r="AA99">
        <f t="shared" si="5"/>
        <v>71</v>
      </c>
      <c r="AB99" t="s">
        <v>34</v>
      </c>
      <c r="AC99" t="s">
        <v>350</v>
      </c>
      <c r="AD99" t="s">
        <v>114</v>
      </c>
      <c r="AE99" t="s">
        <v>46</v>
      </c>
      <c r="AF99" t="s">
        <v>136</v>
      </c>
      <c r="AG99" t="s">
        <v>29</v>
      </c>
      <c r="AH99" t="s">
        <v>89</v>
      </c>
    </row>
    <row r="100" spans="1:34" x14ac:dyDescent="0.25">
      <c r="A100" t="s">
        <v>666</v>
      </c>
      <c r="B100" t="s">
        <v>51</v>
      </c>
      <c r="C100" t="s">
        <v>42</v>
      </c>
      <c r="D100" t="s">
        <v>42</v>
      </c>
      <c r="E100" t="s">
        <v>667</v>
      </c>
      <c r="F100" t="s">
        <v>29</v>
      </c>
      <c r="G100" t="s">
        <v>80</v>
      </c>
      <c r="H100" t="s">
        <v>60</v>
      </c>
      <c r="I100" t="str">
        <f t="shared" si="3"/>
        <v>GN074-XSP</v>
      </c>
      <c r="J100" s="2">
        <v>46042</v>
      </c>
      <c r="K100" t="s">
        <v>133</v>
      </c>
      <c r="L100" t="s">
        <v>668</v>
      </c>
      <c r="M100" t="s">
        <v>668</v>
      </c>
      <c r="N100" t="s">
        <v>133</v>
      </c>
      <c r="O100">
        <v>7</v>
      </c>
      <c r="P100" t="s">
        <v>29</v>
      </c>
      <c r="Q100" t="s">
        <v>85</v>
      </c>
      <c r="R100" t="s">
        <v>669</v>
      </c>
      <c r="S100" t="s">
        <v>47</v>
      </c>
      <c r="T100" t="str">
        <f t="shared" si="4"/>
        <v>GN075-KUL</v>
      </c>
      <c r="U100" s="2">
        <v>46043</v>
      </c>
      <c r="V100" t="s">
        <v>218</v>
      </c>
      <c r="W100" t="s">
        <v>402</v>
      </c>
      <c r="X100" t="s">
        <v>670</v>
      </c>
      <c r="Y100" t="s">
        <v>29</v>
      </c>
      <c r="Z100" t="s">
        <v>433</v>
      </c>
      <c r="AA100">
        <f t="shared" si="5"/>
        <v>6</v>
      </c>
      <c r="AB100" t="s">
        <v>34</v>
      </c>
      <c r="AC100" t="s">
        <v>433</v>
      </c>
      <c r="AD100" t="s">
        <v>100</v>
      </c>
      <c r="AE100" t="s">
        <v>46</v>
      </c>
      <c r="AF100" t="s">
        <v>29</v>
      </c>
      <c r="AG100" t="s">
        <v>29</v>
      </c>
      <c r="AH100" t="s">
        <v>89</v>
      </c>
    </row>
    <row r="101" spans="1:34" x14ac:dyDescent="0.25">
      <c r="A101" t="s">
        <v>72</v>
      </c>
      <c r="B101" t="s">
        <v>63</v>
      </c>
      <c r="C101" t="s">
        <v>30</v>
      </c>
      <c r="D101" t="s">
        <v>30</v>
      </c>
      <c r="E101" t="s">
        <v>144</v>
      </c>
      <c r="F101" t="s">
        <v>29</v>
      </c>
      <c r="G101" t="s">
        <v>31</v>
      </c>
      <c r="H101" t="s">
        <v>71</v>
      </c>
      <c r="I101" t="str">
        <f t="shared" si="3"/>
        <v>K6839-SGN</v>
      </c>
      <c r="J101" s="2">
        <v>46043</v>
      </c>
      <c r="K101" t="s">
        <v>312</v>
      </c>
      <c r="L101" t="s">
        <v>478</v>
      </c>
      <c r="M101" t="s">
        <v>535</v>
      </c>
      <c r="N101" t="s">
        <v>621</v>
      </c>
      <c r="O101">
        <v>37</v>
      </c>
      <c r="P101" t="s">
        <v>29</v>
      </c>
      <c r="Q101" t="s">
        <v>85</v>
      </c>
      <c r="R101" t="s">
        <v>70</v>
      </c>
      <c r="S101" t="s">
        <v>71</v>
      </c>
      <c r="T101" t="str">
        <f t="shared" si="4"/>
        <v>K6838-SGN</v>
      </c>
      <c r="U101" s="2">
        <v>46043</v>
      </c>
      <c r="V101" t="s">
        <v>316</v>
      </c>
      <c r="W101" t="s">
        <v>208</v>
      </c>
      <c r="X101" t="s">
        <v>218</v>
      </c>
      <c r="Y101" t="s">
        <v>367</v>
      </c>
      <c r="Z101" t="s">
        <v>319</v>
      </c>
      <c r="AA101">
        <f t="shared" si="5"/>
        <v>71</v>
      </c>
      <c r="AB101" t="s">
        <v>34</v>
      </c>
      <c r="AC101" t="s">
        <v>319</v>
      </c>
      <c r="AD101" t="s">
        <v>173</v>
      </c>
      <c r="AE101" t="s">
        <v>46</v>
      </c>
      <c r="AF101" t="s">
        <v>136</v>
      </c>
      <c r="AG101" t="s">
        <v>29</v>
      </c>
      <c r="AH101" t="s">
        <v>89</v>
      </c>
    </row>
    <row r="102" spans="1:34" x14ac:dyDescent="0.25">
      <c r="A102" t="s">
        <v>188</v>
      </c>
      <c r="B102" t="s">
        <v>189</v>
      </c>
      <c r="C102" t="s">
        <v>30</v>
      </c>
      <c r="D102" t="s">
        <v>30</v>
      </c>
      <c r="E102" t="s">
        <v>572</v>
      </c>
      <c r="F102" t="s">
        <v>29</v>
      </c>
      <c r="G102" t="s">
        <v>38</v>
      </c>
      <c r="H102" t="s">
        <v>47</v>
      </c>
      <c r="I102" t="str">
        <f t="shared" si="3"/>
        <v>AK264-KUL</v>
      </c>
      <c r="J102" s="2">
        <v>46043</v>
      </c>
      <c r="K102" t="s">
        <v>205</v>
      </c>
      <c r="L102" t="s">
        <v>76</v>
      </c>
      <c r="M102" t="s">
        <v>643</v>
      </c>
      <c r="N102" t="s">
        <v>644</v>
      </c>
      <c r="O102">
        <v>103</v>
      </c>
      <c r="P102" t="s">
        <v>522</v>
      </c>
      <c r="Q102" t="s">
        <v>85</v>
      </c>
      <c r="R102" t="s">
        <v>195</v>
      </c>
      <c r="S102" t="s">
        <v>47</v>
      </c>
      <c r="T102" t="str">
        <f t="shared" si="4"/>
        <v>AK265-KUL</v>
      </c>
      <c r="U102" s="2">
        <v>46043</v>
      </c>
      <c r="V102" t="s">
        <v>215</v>
      </c>
      <c r="W102" t="s">
        <v>646</v>
      </c>
      <c r="X102" t="s">
        <v>627</v>
      </c>
      <c r="Y102" t="s">
        <v>29</v>
      </c>
      <c r="Z102" t="s">
        <v>539</v>
      </c>
      <c r="AA102">
        <f t="shared" si="5"/>
        <v>161</v>
      </c>
      <c r="AB102" t="s">
        <v>34</v>
      </c>
      <c r="AC102" t="s">
        <v>539</v>
      </c>
      <c r="AD102" t="s">
        <v>173</v>
      </c>
      <c r="AE102" t="s">
        <v>46</v>
      </c>
      <c r="AF102" t="s">
        <v>136</v>
      </c>
      <c r="AG102" t="s">
        <v>310</v>
      </c>
      <c r="AH102" t="s">
        <v>89</v>
      </c>
    </row>
    <row r="103" spans="1:34" x14ac:dyDescent="0.25">
      <c r="A103" t="s">
        <v>93</v>
      </c>
      <c r="B103" t="s">
        <v>55</v>
      </c>
      <c r="C103" t="s">
        <v>37</v>
      </c>
      <c r="D103" t="s">
        <v>30</v>
      </c>
      <c r="E103" t="s">
        <v>82</v>
      </c>
      <c r="F103" t="s">
        <v>29</v>
      </c>
      <c r="G103" t="s">
        <v>38</v>
      </c>
      <c r="H103" t="s">
        <v>39</v>
      </c>
      <c r="I103" t="str">
        <f t="shared" si="3"/>
        <v>KR831-KTI</v>
      </c>
      <c r="J103" s="2">
        <v>46043</v>
      </c>
      <c r="K103" t="s">
        <v>95</v>
      </c>
      <c r="L103" t="s">
        <v>661</v>
      </c>
      <c r="M103" t="s">
        <v>662</v>
      </c>
      <c r="N103" t="s">
        <v>536</v>
      </c>
      <c r="O103">
        <v>1</v>
      </c>
      <c r="P103" t="s">
        <v>29</v>
      </c>
      <c r="Q103" t="s">
        <v>85</v>
      </c>
      <c r="R103" t="s">
        <v>97</v>
      </c>
      <c r="S103" t="s">
        <v>57</v>
      </c>
      <c r="T103" t="str">
        <f t="shared" si="4"/>
        <v>KR961-TFU</v>
      </c>
      <c r="U103" s="2">
        <v>46043</v>
      </c>
      <c r="V103" t="s">
        <v>77</v>
      </c>
      <c r="W103" t="s">
        <v>663</v>
      </c>
      <c r="X103" t="s">
        <v>77</v>
      </c>
      <c r="Y103" t="s">
        <v>98</v>
      </c>
      <c r="Z103" t="s">
        <v>292</v>
      </c>
      <c r="AA103">
        <f t="shared" si="5"/>
        <v>151</v>
      </c>
      <c r="AB103" t="s">
        <v>34</v>
      </c>
      <c r="AC103" t="s">
        <v>292</v>
      </c>
      <c r="AD103" t="s">
        <v>173</v>
      </c>
      <c r="AE103" t="s">
        <v>46</v>
      </c>
      <c r="AF103" t="s">
        <v>90</v>
      </c>
      <c r="AG103" t="s">
        <v>29</v>
      </c>
      <c r="AH103" t="s">
        <v>89</v>
      </c>
    </row>
    <row r="104" spans="1:34" x14ac:dyDescent="0.25">
      <c r="A104" t="s">
        <v>54</v>
      </c>
      <c r="B104" t="s">
        <v>55</v>
      </c>
      <c r="C104" t="s">
        <v>30</v>
      </c>
      <c r="D104" t="s">
        <v>37</v>
      </c>
      <c r="E104" t="s">
        <v>82</v>
      </c>
      <c r="F104" t="s">
        <v>29</v>
      </c>
      <c r="G104" t="s">
        <v>38</v>
      </c>
      <c r="H104" t="s">
        <v>57</v>
      </c>
      <c r="I104" t="str">
        <f t="shared" si="3"/>
        <v>KR962-TFU</v>
      </c>
      <c r="J104" s="2">
        <v>46043</v>
      </c>
      <c r="K104" t="s">
        <v>58</v>
      </c>
      <c r="L104" t="s">
        <v>424</v>
      </c>
      <c r="M104" t="s">
        <v>541</v>
      </c>
      <c r="N104" t="s">
        <v>164</v>
      </c>
      <c r="O104">
        <v>46</v>
      </c>
      <c r="P104" t="s">
        <v>29</v>
      </c>
      <c r="Q104" t="s">
        <v>85</v>
      </c>
      <c r="R104" t="s">
        <v>86</v>
      </c>
      <c r="S104" t="s">
        <v>39</v>
      </c>
      <c r="T104" t="str">
        <f t="shared" si="4"/>
        <v>KR832-KTI</v>
      </c>
      <c r="U104" s="2">
        <v>46043</v>
      </c>
      <c r="V104" t="s">
        <v>87</v>
      </c>
      <c r="W104" t="s">
        <v>664</v>
      </c>
      <c r="X104" t="s">
        <v>665</v>
      </c>
      <c r="Y104" t="s">
        <v>29</v>
      </c>
      <c r="Z104" t="s">
        <v>34</v>
      </c>
      <c r="AA104">
        <f t="shared" si="5"/>
        <v>1</v>
      </c>
      <c r="AB104" t="s">
        <v>34</v>
      </c>
      <c r="AC104" t="s">
        <v>34</v>
      </c>
      <c r="AD104" t="s">
        <v>212</v>
      </c>
      <c r="AE104" t="s">
        <v>46</v>
      </c>
      <c r="AF104" t="s">
        <v>29</v>
      </c>
      <c r="AG104" t="s">
        <v>29</v>
      </c>
      <c r="AH104" t="s">
        <v>89</v>
      </c>
    </row>
    <row r="105" spans="1:34" x14ac:dyDescent="0.25">
      <c r="A105" t="s">
        <v>125</v>
      </c>
      <c r="B105" t="s">
        <v>63</v>
      </c>
      <c r="C105" t="s">
        <v>30</v>
      </c>
      <c r="D105" t="s">
        <v>30</v>
      </c>
      <c r="E105" t="s">
        <v>126</v>
      </c>
      <c r="F105" t="s">
        <v>29</v>
      </c>
      <c r="G105" t="s">
        <v>31</v>
      </c>
      <c r="H105" t="s">
        <v>127</v>
      </c>
      <c r="I105" t="str">
        <f t="shared" si="3"/>
        <v>K6131-SAI</v>
      </c>
      <c r="J105" s="2">
        <v>46043</v>
      </c>
      <c r="K105" t="s">
        <v>128</v>
      </c>
      <c r="L105" t="s">
        <v>429</v>
      </c>
      <c r="M105" t="s">
        <v>337</v>
      </c>
      <c r="N105" t="s">
        <v>61</v>
      </c>
      <c r="O105">
        <v>68</v>
      </c>
      <c r="P105" t="s">
        <v>29</v>
      </c>
      <c r="Q105" t="s">
        <v>85</v>
      </c>
      <c r="R105" t="s">
        <v>131</v>
      </c>
      <c r="S105" t="s">
        <v>127</v>
      </c>
      <c r="T105" t="str">
        <f t="shared" si="4"/>
        <v>K6130-SAI</v>
      </c>
      <c r="U105" s="2">
        <v>46043</v>
      </c>
      <c r="V105" t="s">
        <v>69</v>
      </c>
      <c r="W105" t="s">
        <v>133</v>
      </c>
      <c r="X105" t="s">
        <v>676</v>
      </c>
      <c r="Y105" t="s">
        <v>275</v>
      </c>
      <c r="Z105" t="s">
        <v>157</v>
      </c>
      <c r="AA105">
        <f t="shared" si="5"/>
        <v>65</v>
      </c>
      <c r="AB105" t="s">
        <v>34</v>
      </c>
      <c r="AC105" t="s">
        <v>157</v>
      </c>
      <c r="AD105" t="s">
        <v>173</v>
      </c>
      <c r="AE105" t="s">
        <v>46</v>
      </c>
      <c r="AF105" t="s">
        <v>136</v>
      </c>
      <c r="AG105" t="s">
        <v>29</v>
      </c>
      <c r="AH105" t="s">
        <v>89</v>
      </c>
    </row>
    <row r="106" spans="1:34" x14ac:dyDescent="0.25">
      <c r="A106" t="s">
        <v>222</v>
      </c>
      <c r="B106" t="s">
        <v>223</v>
      </c>
      <c r="C106" t="s">
        <v>30</v>
      </c>
      <c r="D106" t="s">
        <v>30</v>
      </c>
      <c r="E106" t="s">
        <v>294</v>
      </c>
      <c r="F106" t="s">
        <v>29</v>
      </c>
      <c r="G106" t="s">
        <v>38</v>
      </c>
      <c r="H106" t="s">
        <v>47</v>
      </c>
      <c r="I106" t="str">
        <f t="shared" si="3"/>
        <v>KT174-KUL</v>
      </c>
      <c r="J106" s="2">
        <v>46044</v>
      </c>
      <c r="K106" t="s">
        <v>264</v>
      </c>
      <c r="L106" t="s">
        <v>29</v>
      </c>
      <c r="M106" t="s">
        <v>295</v>
      </c>
      <c r="N106" t="s">
        <v>269</v>
      </c>
      <c r="O106">
        <v>109</v>
      </c>
      <c r="P106" t="s">
        <v>29</v>
      </c>
      <c r="Q106" t="s">
        <v>85</v>
      </c>
      <c r="R106" t="s">
        <v>226</v>
      </c>
      <c r="S106" t="s">
        <v>47</v>
      </c>
      <c r="T106" t="str">
        <f t="shared" si="4"/>
        <v>KT175-KUL</v>
      </c>
      <c r="U106" s="2">
        <v>46044</v>
      </c>
      <c r="V106" t="s">
        <v>227</v>
      </c>
      <c r="W106" t="s">
        <v>117</v>
      </c>
      <c r="X106" t="s">
        <v>296</v>
      </c>
      <c r="Y106" t="s">
        <v>297</v>
      </c>
      <c r="Z106" t="s">
        <v>298</v>
      </c>
      <c r="AA106">
        <f t="shared" si="5"/>
        <v>169</v>
      </c>
      <c r="AB106" t="s">
        <v>34</v>
      </c>
      <c r="AC106" t="s">
        <v>298</v>
      </c>
      <c r="AD106" t="s">
        <v>173</v>
      </c>
      <c r="AE106" t="s">
        <v>46</v>
      </c>
      <c r="AF106" t="s">
        <v>90</v>
      </c>
      <c r="AG106" t="s">
        <v>29</v>
      </c>
      <c r="AH106" t="s">
        <v>89</v>
      </c>
    </row>
    <row r="107" spans="1:34" x14ac:dyDescent="0.25">
      <c r="A107" t="s">
        <v>72</v>
      </c>
      <c r="B107" t="s">
        <v>63</v>
      </c>
      <c r="C107" t="s">
        <v>30</v>
      </c>
      <c r="D107" t="s">
        <v>30</v>
      </c>
      <c r="E107" t="s">
        <v>154</v>
      </c>
      <c r="F107" t="s">
        <v>29</v>
      </c>
      <c r="G107" t="s">
        <v>64</v>
      </c>
      <c r="H107" t="s">
        <v>71</v>
      </c>
      <c r="I107" t="str">
        <f t="shared" si="3"/>
        <v>K6839-SGN</v>
      </c>
      <c r="J107" s="2">
        <v>46044</v>
      </c>
      <c r="K107" t="s">
        <v>48</v>
      </c>
      <c r="L107" t="s">
        <v>325</v>
      </c>
      <c r="M107" t="s">
        <v>325</v>
      </c>
      <c r="N107" t="s">
        <v>326</v>
      </c>
      <c r="O107">
        <v>61</v>
      </c>
      <c r="P107" t="s">
        <v>29</v>
      </c>
      <c r="Q107" t="s">
        <v>85</v>
      </c>
      <c r="R107" t="s">
        <v>32</v>
      </c>
      <c r="S107" t="s">
        <v>33</v>
      </c>
      <c r="T107" t="str">
        <f t="shared" si="4"/>
        <v>K6930-SZX</v>
      </c>
      <c r="U107" s="2">
        <v>46044</v>
      </c>
      <c r="V107" t="s">
        <v>158</v>
      </c>
      <c r="W107" t="s">
        <v>186</v>
      </c>
      <c r="X107" t="s">
        <v>327</v>
      </c>
      <c r="Y107" t="s">
        <v>159</v>
      </c>
      <c r="Z107" t="s">
        <v>328</v>
      </c>
      <c r="AA107">
        <f t="shared" si="5"/>
        <v>172</v>
      </c>
      <c r="AB107" t="s">
        <v>34</v>
      </c>
      <c r="AC107" t="s">
        <v>328</v>
      </c>
      <c r="AD107" t="s">
        <v>212</v>
      </c>
      <c r="AE107" t="s">
        <v>46</v>
      </c>
      <c r="AF107" t="s">
        <v>136</v>
      </c>
      <c r="AG107" t="s">
        <v>29</v>
      </c>
      <c r="AH107" t="s">
        <v>89</v>
      </c>
    </row>
    <row r="108" spans="1:34" x14ac:dyDescent="0.25">
      <c r="A108" t="s">
        <v>356</v>
      </c>
      <c r="B108" t="s">
        <v>63</v>
      </c>
      <c r="C108" t="s">
        <v>30</v>
      </c>
      <c r="D108" t="s">
        <v>30</v>
      </c>
      <c r="E108" t="s">
        <v>163</v>
      </c>
      <c r="F108" t="s">
        <v>29</v>
      </c>
      <c r="G108" t="s">
        <v>31</v>
      </c>
      <c r="H108" t="s">
        <v>127</v>
      </c>
      <c r="I108" t="str">
        <f t="shared" si="3"/>
        <v>K6135-SAI</v>
      </c>
      <c r="J108" s="2">
        <v>46044</v>
      </c>
      <c r="K108" t="s">
        <v>250</v>
      </c>
      <c r="L108" t="s">
        <v>386</v>
      </c>
      <c r="M108" t="s">
        <v>387</v>
      </c>
      <c r="N108" t="s">
        <v>388</v>
      </c>
      <c r="O108">
        <v>66</v>
      </c>
      <c r="P108" t="s">
        <v>29</v>
      </c>
      <c r="Q108" t="s">
        <v>85</v>
      </c>
      <c r="R108" t="s">
        <v>70</v>
      </c>
      <c r="S108" t="s">
        <v>71</v>
      </c>
      <c r="T108" t="str">
        <f t="shared" si="4"/>
        <v>K6838-SGN</v>
      </c>
      <c r="U108" s="2">
        <v>46044</v>
      </c>
      <c r="V108" t="s">
        <v>234</v>
      </c>
      <c r="W108" t="s">
        <v>389</v>
      </c>
      <c r="X108" t="s">
        <v>390</v>
      </c>
      <c r="Y108" t="s">
        <v>275</v>
      </c>
      <c r="Z108" t="s">
        <v>135</v>
      </c>
      <c r="AA108">
        <f t="shared" si="5"/>
        <v>60</v>
      </c>
      <c r="AB108" t="s">
        <v>34</v>
      </c>
      <c r="AC108" t="s">
        <v>134</v>
      </c>
      <c r="AD108" t="s">
        <v>212</v>
      </c>
      <c r="AE108" t="s">
        <v>46</v>
      </c>
      <c r="AF108" t="s">
        <v>136</v>
      </c>
      <c r="AG108" t="s">
        <v>29</v>
      </c>
      <c r="AH108" t="s">
        <v>89</v>
      </c>
    </row>
    <row r="109" spans="1:34" x14ac:dyDescent="0.25">
      <c r="A109" t="s">
        <v>450</v>
      </c>
      <c r="B109" t="s">
        <v>451</v>
      </c>
      <c r="C109" t="s">
        <v>46</v>
      </c>
      <c r="D109" t="s">
        <v>37</v>
      </c>
      <c r="E109" t="s">
        <v>452</v>
      </c>
      <c r="F109" t="s">
        <v>29</v>
      </c>
      <c r="G109" t="s">
        <v>38</v>
      </c>
      <c r="H109" t="s">
        <v>41</v>
      </c>
      <c r="I109" t="str">
        <f t="shared" si="3"/>
        <v>ID8882-CGK</v>
      </c>
      <c r="J109" s="2">
        <v>46044</v>
      </c>
      <c r="K109" t="s">
        <v>75</v>
      </c>
      <c r="L109" t="s">
        <v>29</v>
      </c>
      <c r="M109" t="s">
        <v>453</v>
      </c>
      <c r="N109" t="s">
        <v>454</v>
      </c>
      <c r="O109">
        <v>46</v>
      </c>
      <c r="P109" t="s">
        <v>29</v>
      </c>
      <c r="Q109" t="s">
        <v>85</v>
      </c>
      <c r="R109" t="s">
        <v>455</v>
      </c>
      <c r="S109" t="s">
        <v>456</v>
      </c>
      <c r="T109" t="str">
        <f t="shared" si="4"/>
        <v>ID5010-KNO</v>
      </c>
      <c r="U109" s="2">
        <v>46044</v>
      </c>
      <c r="V109" t="s">
        <v>164</v>
      </c>
      <c r="W109" t="s">
        <v>88</v>
      </c>
      <c r="X109" t="s">
        <v>442</v>
      </c>
      <c r="Y109" t="s">
        <v>29</v>
      </c>
      <c r="Z109" t="s">
        <v>34</v>
      </c>
      <c r="AA109">
        <f t="shared" si="5"/>
        <v>1</v>
      </c>
      <c r="AB109" t="s">
        <v>29</v>
      </c>
      <c r="AC109" t="s">
        <v>29</v>
      </c>
      <c r="AD109" t="s">
        <v>173</v>
      </c>
      <c r="AE109" t="s">
        <v>46</v>
      </c>
      <c r="AF109" t="s">
        <v>29</v>
      </c>
      <c r="AG109" t="s">
        <v>29</v>
      </c>
      <c r="AH109" t="s">
        <v>89</v>
      </c>
    </row>
    <row r="110" spans="1:34" x14ac:dyDescent="0.25">
      <c r="A110" t="s">
        <v>125</v>
      </c>
      <c r="B110" t="s">
        <v>63</v>
      </c>
      <c r="C110" t="s">
        <v>30</v>
      </c>
      <c r="D110" t="s">
        <v>30</v>
      </c>
      <c r="E110" t="s">
        <v>163</v>
      </c>
      <c r="F110" t="s">
        <v>29</v>
      </c>
      <c r="G110" t="s">
        <v>31</v>
      </c>
      <c r="H110" t="s">
        <v>127</v>
      </c>
      <c r="I110" t="str">
        <f t="shared" si="3"/>
        <v>K6131-SAI</v>
      </c>
      <c r="J110" s="2">
        <v>46044</v>
      </c>
      <c r="K110" t="s">
        <v>128</v>
      </c>
      <c r="L110" t="s">
        <v>29</v>
      </c>
      <c r="M110" t="s">
        <v>383</v>
      </c>
      <c r="N110" t="s">
        <v>306</v>
      </c>
      <c r="O110">
        <v>72</v>
      </c>
      <c r="P110" t="s">
        <v>29</v>
      </c>
      <c r="Q110" t="s">
        <v>85</v>
      </c>
      <c r="R110" t="s">
        <v>131</v>
      </c>
      <c r="S110" t="s">
        <v>127</v>
      </c>
      <c r="T110" t="str">
        <f t="shared" si="4"/>
        <v>K6130-SAI</v>
      </c>
      <c r="U110" s="2">
        <v>46044</v>
      </c>
      <c r="V110" t="s">
        <v>69</v>
      </c>
      <c r="W110" t="s">
        <v>430</v>
      </c>
      <c r="X110" t="s">
        <v>69</v>
      </c>
      <c r="Y110" t="s">
        <v>367</v>
      </c>
      <c r="Z110" t="s">
        <v>319</v>
      </c>
      <c r="AA110">
        <f t="shared" si="5"/>
        <v>71</v>
      </c>
      <c r="AB110" t="s">
        <v>34</v>
      </c>
      <c r="AC110" t="s">
        <v>350</v>
      </c>
      <c r="AD110" t="s">
        <v>173</v>
      </c>
      <c r="AE110" t="s">
        <v>46</v>
      </c>
      <c r="AF110" t="s">
        <v>100</v>
      </c>
      <c r="AG110" t="s">
        <v>29</v>
      </c>
      <c r="AH110" t="s">
        <v>89</v>
      </c>
    </row>
    <row r="111" spans="1:34" x14ac:dyDescent="0.25">
      <c r="A111" t="s">
        <v>591</v>
      </c>
      <c r="B111" t="s">
        <v>309</v>
      </c>
      <c r="C111" t="s">
        <v>46</v>
      </c>
      <c r="D111" t="s">
        <v>37</v>
      </c>
      <c r="E111" t="s">
        <v>29</v>
      </c>
      <c r="F111" t="s">
        <v>29</v>
      </c>
      <c r="G111" t="s">
        <v>104</v>
      </c>
      <c r="H111" t="s">
        <v>41</v>
      </c>
      <c r="I111" t="str">
        <f t="shared" si="3"/>
        <v>GA8480-CGK</v>
      </c>
      <c r="J111" s="2">
        <v>46044</v>
      </c>
      <c r="K111" t="s">
        <v>75</v>
      </c>
      <c r="L111" t="s">
        <v>29</v>
      </c>
      <c r="M111" t="s">
        <v>29</v>
      </c>
      <c r="N111" t="s">
        <v>29</v>
      </c>
      <c r="O111" t="e">
        <v>#VALUE!</v>
      </c>
      <c r="P111" t="s">
        <v>29</v>
      </c>
      <c r="Q111" t="s">
        <v>35</v>
      </c>
      <c r="R111" t="s">
        <v>592</v>
      </c>
      <c r="S111" t="s">
        <v>41</v>
      </c>
      <c r="T111" t="str">
        <f t="shared" si="4"/>
        <v>GA8481-CGK</v>
      </c>
      <c r="U111" s="2">
        <v>46044</v>
      </c>
      <c r="V111" t="s">
        <v>442</v>
      </c>
      <c r="W111" t="s">
        <v>29</v>
      </c>
      <c r="X111" t="s">
        <v>29</v>
      </c>
      <c r="Y111" t="s">
        <v>29</v>
      </c>
      <c r="Z111" t="s">
        <v>34</v>
      </c>
      <c r="AA111">
        <f t="shared" si="5"/>
        <v>1</v>
      </c>
      <c r="AB111" t="s">
        <v>29</v>
      </c>
      <c r="AC111" t="s">
        <v>29</v>
      </c>
      <c r="AD111" t="s">
        <v>29</v>
      </c>
      <c r="AE111" t="s">
        <v>29</v>
      </c>
      <c r="AF111" t="s">
        <v>29</v>
      </c>
      <c r="AG111" t="s">
        <v>29</v>
      </c>
      <c r="AH111" t="s">
        <v>35</v>
      </c>
    </row>
    <row r="112" spans="1:34" x14ac:dyDescent="0.25">
      <c r="A112" t="s">
        <v>188</v>
      </c>
      <c r="B112" t="s">
        <v>189</v>
      </c>
      <c r="C112" t="s">
        <v>30</v>
      </c>
      <c r="D112" t="s">
        <v>30</v>
      </c>
      <c r="E112" t="s">
        <v>197</v>
      </c>
      <c r="F112" t="s">
        <v>29</v>
      </c>
      <c r="G112" t="s">
        <v>38</v>
      </c>
      <c r="H112" t="s">
        <v>47</v>
      </c>
      <c r="I112" t="str">
        <f t="shared" si="3"/>
        <v>AK264-KUL</v>
      </c>
      <c r="J112" s="2">
        <v>46045</v>
      </c>
      <c r="K112" t="s">
        <v>205</v>
      </c>
      <c r="L112" t="s">
        <v>29</v>
      </c>
      <c r="M112" t="s">
        <v>347</v>
      </c>
      <c r="N112" t="s">
        <v>69</v>
      </c>
      <c r="O112">
        <v>116</v>
      </c>
      <c r="P112" t="s">
        <v>29</v>
      </c>
      <c r="Q112" t="s">
        <v>85</v>
      </c>
      <c r="R112" t="s">
        <v>195</v>
      </c>
      <c r="S112" t="s">
        <v>47</v>
      </c>
      <c r="T112" t="str">
        <f t="shared" si="4"/>
        <v>AK265-KUL</v>
      </c>
      <c r="U112" s="2">
        <v>46045</v>
      </c>
      <c r="V112" t="s">
        <v>215</v>
      </c>
      <c r="W112" t="s">
        <v>348</v>
      </c>
      <c r="X112" t="s">
        <v>207</v>
      </c>
      <c r="Y112" t="s">
        <v>29</v>
      </c>
      <c r="Z112" t="s">
        <v>190</v>
      </c>
      <c r="AA112">
        <f t="shared" si="5"/>
        <v>181</v>
      </c>
      <c r="AB112" t="s">
        <v>34</v>
      </c>
      <c r="AC112" t="s">
        <v>307</v>
      </c>
      <c r="AD112" t="s">
        <v>173</v>
      </c>
      <c r="AE112" t="s">
        <v>46</v>
      </c>
      <c r="AF112" t="s">
        <v>90</v>
      </c>
      <c r="AG112" t="s">
        <v>29</v>
      </c>
      <c r="AH112" t="s">
        <v>89</v>
      </c>
    </row>
    <row r="113" spans="1:34" x14ac:dyDescent="0.25">
      <c r="A113" t="s">
        <v>62</v>
      </c>
      <c r="B113" t="s">
        <v>63</v>
      </c>
      <c r="C113" t="s">
        <v>30</v>
      </c>
      <c r="D113" t="s">
        <v>30</v>
      </c>
      <c r="E113" t="s">
        <v>154</v>
      </c>
      <c r="F113" t="s">
        <v>29</v>
      </c>
      <c r="G113" t="s">
        <v>64</v>
      </c>
      <c r="H113" t="s">
        <v>33</v>
      </c>
      <c r="I113" t="str">
        <f t="shared" si="3"/>
        <v>K6931-SZX</v>
      </c>
      <c r="J113" s="2">
        <v>46045</v>
      </c>
      <c r="K113" t="s">
        <v>65</v>
      </c>
      <c r="L113" t="s">
        <v>411</v>
      </c>
      <c r="M113" t="s">
        <v>412</v>
      </c>
      <c r="N113" t="s">
        <v>413</v>
      </c>
      <c r="O113">
        <v>72</v>
      </c>
      <c r="P113" t="s">
        <v>29</v>
      </c>
      <c r="Q113" t="s">
        <v>85</v>
      </c>
      <c r="R113" t="s">
        <v>70</v>
      </c>
      <c r="S113" t="s">
        <v>71</v>
      </c>
      <c r="T113" t="str">
        <f t="shared" si="4"/>
        <v>K6838-SGN</v>
      </c>
      <c r="U113" s="2">
        <v>46045</v>
      </c>
      <c r="V113" t="s">
        <v>255</v>
      </c>
      <c r="W113" t="s">
        <v>414</v>
      </c>
      <c r="X113" t="s">
        <v>415</v>
      </c>
      <c r="Y113" t="s">
        <v>298</v>
      </c>
      <c r="Z113" t="s">
        <v>160</v>
      </c>
      <c r="AA113">
        <f t="shared" si="5"/>
        <v>155</v>
      </c>
      <c r="AB113" t="s">
        <v>34</v>
      </c>
      <c r="AC113" t="s">
        <v>160</v>
      </c>
      <c r="AD113" t="s">
        <v>173</v>
      </c>
      <c r="AE113" t="s">
        <v>46</v>
      </c>
      <c r="AF113" t="s">
        <v>136</v>
      </c>
      <c r="AG113" t="s">
        <v>29</v>
      </c>
      <c r="AH113" t="s">
        <v>89</v>
      </c>
    </row>
    <row r="114" spans="1:34" x14ac:dyDescent="0.25">
      <c r="A114" t="s">
        <v>125</v>
      </c>
      <c r="B114" t="s">
        <v>63</v>
      </c>
      <c r="C114" t="s">
        <v>30</v>
      </c>
      <c r="D114" t="s">
        <v>30</v>
      </c>
      <c r="E114" t="s">
        <v>126</v>
      </c>
      <c r="F114" t="s">
        <v>29</v>
      </c>
      <c r="G114" t="s">
        <v>31</v>
      </c>
      <c r="H114" t="s">
        <v>127</v>
      </c>
      <c r="I114" t="str">
        <f t="shared" si="3"/>
        <v>K6131-SAI</v>
      </c>
      <c r="J114" s="2">
        <v>46045</v>
      </c>
      <c r="K114" t="s">
        <v>128</v>
      </c>
      <c r="L114" t="s">
        <v>29</v>
      </c>
      <c r="M114" t="s">
        <v>306</v>
      </c>
      <c r="N114" t="s">
        <v>213</v>
      </c>
      <c r="O114">
        <v>70</v>
      </c>
      <c r="P114" t="s">
        <v>29</v>
      </c>
      <c r="Q114" t="s">
        <v>85</v>
      </c>
      <c r="R114" t="s">
        <v>131</v>
      </c>
      <c r="S114" t="s">
        <v>127</v>
      </c>
      <c r="T114" t="str">
        <f t="shared" si="4"/>
        <v>K6130-SAI</v>
      </c>
      <c r="U114" s="2">
        <v>46045</v>
      </c>
      <c r="V114" t="s">
        <v>69</v>
      </c>
      <c r="W114" t="s">
        <v>216</v>
      </c>
      <c r="X114" t="s">
        <v>429</v>
      </c>
      <c r="Y114" t="s">
        <v>350</v>
      </c>
      <c r="Z114" t="s">
        <v>184</v>
      </c>
      <c r="AA114">
        <f t="shared" si="5"/>
        <v>73</v>
      </c>
      <c r="AB114" t="s">
        <v>34</v>
      </c>
      <c r="AC114" t="s">
        <v>184</v>
      </c>
      <c r="AD114" t="s">
        <v>114</v>
      </c>
      <c r="AE114" t="s">
        <v>46</v>
      </c>
      <c r="AF114" t="s">
        <v>100</v>
      </c>
      <c r="AG114" t="s">
        <v>29</v>
      </c>
      <c r="AH114" t="s">
        <v>89</v>
      </c>
    </row>
    <row r="115" spans="1:34" x14ac:dyDescent="0.25">
      <c r="A115" t="s">
        <v>143</v>
      </c>
      <c r="B115" t="s">
        <v>63</v>
      </c>
      <c r="C115" t="s">
        <v>30</v>
      </c>
      <c r="D115" t="s">
        <v>30</v>
      </c>
      <c r="E115" t="s">
        <v>163</v>
      </c>
      <c r="F115" t="s">
        <v>29</v>
      </c>
      <c r="G115" t="s">
        <v>31</v>
      </c>
      <c r="H115" t="s">
        <v>127</v>
      </c>
      <c r="I115" t="str">
        <f t="shared" si="3"/>
        <v>K6133-SAI</v>
      </c>
      <c r="J115" s="2">
        <v>46045</v>
      </c>
      <c r="K115" t="s">
        <v>145</v>
      </c>
      <c r="L115" t="s">
        <v>29</v>
      </c>
      <c r="M115" t="s">
        <v>464</v>
      </c>
      <c r="N115" t="s">
        <v>465</v>
      </c>
      <c r="O115">
        <v>57</v>
      </c>
      <c r="P115" t="s">
        <v>29</v>
      </c>
      <c r="Q115" t="s">
        <v>85</v>
      </c>
      <c r="R115" t="s">
        <v>149</v>
      </c>
      <c r="S115" t="s">
        <v>127</v>
      </c>
      <c r="T115" t="str">
        <f t="shared" si="4"/>
        <v>K6132-SAI</v>
      </c>
      <c r="U115" s="2">
        <v>46045</v>
      </c>
      <c r="V115" t="s">
        <v>150</v>
      </c>
      <c r="W115" t="s">
        <v>466</v>
      </c>
      <c r="X115" t="s">
        <v>467</v>
      </c>
      <c r="Y115" t="s">
        <v>460</v>
      </c>
      <c r="Z115" t="s">
        <v>148</v>
      </c>
      <c r="AA115">
        <f t="shared" si="5"/>
        <v>47</v>
      </c>
      <c r="AB115" t="s">
        <v>34</v>
      </c>
      <c r="AC115" t="s">
        <v>148</v>
      </c>
      <c r="AD115" t="s">
        <v>173</v>
      </c>
      <c r="AE115" t="s">
        <v>46</v>
      </c>
      <c r="AF115" t="s">
        <v>100</v>
      </c>
      <c r="AG115" t="s">
        <v>29</v>
      </c>
      <c r="AH115" t="s">
        <v>89</v>
      </c>
    </row>
    <row r="116" spans="1:34" x14ac:dyDescent="0.25">
      <c r="A116" t="s">
        <v>170</v>
      </c>
      <c r="B116" t="s">
        <v>102</v>
      </c>
      <c r="C116" t="s">
        <v>30</v>
      </c>
      <c r="D116" t="s">
        <v>30</v>
      </c>
      <c r="E116" t="s">
        <v>280</v>
      </c>
      <c r="F116" t="s">
        <v>29</v>
      </c>
      <c r="G116" t="s">
        <v>104</v>
      </c>
      <c r="H116" t="s">
        <v>172</v>
      </c>
      <c r="I116" t="str">
        <f t="shared" si="3"/>
        <v>DR5029-KMG</v>
      </c>
      <c r="J116" s="2">
        <v>46046</v>
      </c>
      <c r="K116" t="s">
        <v>174</v>
      </c>
      <c r="L116" t="s">
        <v>29</v>
      </c>
      <c r="M116" t="s">
        <v>145</v>
      </c>
      <c r="N116" t="s">
        <v>281</v>
      </c>
      <c r="O116">
        <v>59</v>
      </c>
      <c r="P116" t="s">
        <v>29</v>
      </c>
      <c r="Q116" t="s">
        <v>85</v>
      </c>
      <c r="R116" t="s">
        <v>178</v>
      </c>
      <c r="S116" t="s">
        <v>172</v>
      </c>
      <c r="T116" t="str">
        <f t="shared" si="4"/>
        <v>DR5030-KMG</v>
      </c>
      <c r="U116" s="2">
        <v>46046</v>
      </c>
      <c r="V116" t="s">
        <v>179</v>
      </c>
      <c r="W116" t="s">
        <v>282</v>
      </c>
      <c r="X116" t="s">
        <v>283</v>
      </c>
      <c r="Y116" t="s">
        <v>183</v>
      </c>
      <c r="Z116" t="s">
        <v>284</v>
      </c>
      <c r="AA116">
        <f t="shared" si="5"/>
        <v>160</v>
      </c>
      <c r="AB116" t="s">
        <v>34</v>
      </c>
      <c r="AC116" t="s">
        <v>99</v>
      </c>
      <c r="AD116" t="s">
        <v>173</v>
      </c>
      <c r="AE116" t="s">
        <v>46</v>
      </c>
      <c r="AF116" t="s">
        <v>136</v>
      </c>
      <c r="AG116" t="s">
        <v>29</v>
      </c>
      <c r="AH116" t="s">
        <v>89</v>
      </c>
    </row>
    <row r="117" spans="1:34" x14ac:dyDescent="0.25">
      <c r="A117" t="s">
        <v>222</v>
      </c>
      <c r="B117" t="s">
        <v>223</v>
      </c>
      <c r="C117" t="s">
        <v>30</v>
      </c>
      <c r="D117" t="s">
        <v>30</v>
      </c>
      <c r="E117" t="s">
        <v>294</v>
      </c>
      <c r="F117" t="s">
        <v>29</v>
      </c>
      <c r="G117" t="s">
        <v>38</v>
      </c>
      <c r="H117" t="s">
        <v>47</v>
      </c>
      <c r="I117" t="str">
        <f t="shared" si="3"/>
        <v>KT174-KUL</v>
      </c>
      <c r="J117" s="2">
        <v>46046</v>
      </c>
      <c r="K117" t="s">
        <v>264</v>
      </c>
      <c r="L117" t="s">
        <v>304</v>
      </c>
      <c r="M117" t="s">
        <v>304</v>
      </c>
      <c r="N117" t="s">
        <v>305</v>
      </c>
      <c r="O117">
        <v>93</v>
      </c>
      <c r="P117" t="s">
        <v>29</v>
      </c>
      <c r="Q117" t="s">
        <v>85</v>
      </c>
      <c r="R117" t="s">
        <v>226</v>
      </c>
      <c r="S117" t="s">
        <v>47</v>
      </c>
      <c r="T117" t="str">
        <f t="shared" si="4"/>
        <v>KT175-KUL</v>
      </c>
      <c r="U117" s="2">
        <v>46046</v>
      </c>
      <c r="V117" t="s">
        <v>227</v>
      </c>
      <c r="W117" t="s">
        <v>267</v>
      </c>
      <c r="X117" t="s">
        <v>306</v>
      </c>
      <c r="Y117" t="s">
        <v>307</v>
      </c>
      <c r="Z117" t="s">
        <v>161</v>
      </c>
      <c r="AA117">
        <f t="shared" si="5"/>
        <v>153</v>
      </c>
      <c r="AB117" t="s">
        <v>34</v>
      </c>
      <c r="AC117" t="s">
        <v>161</v>
      </c>
      <c r="AD117" t="s">
        <v>173</v>
      </c>
      <c r="AE117" t="s">
        <v>46</v>
      </c>
      <c r="AF117" t="s">
        <v>90</v>
      </c>
      <c r="AG117" t="s">
        <v>29</v>
      </c>
      <c r="AH117" t="s">
        <v>89</v>
      </c>
    </row>
    <row r="118" spans="1:34" x14ac:dyDescent="0.25">
      <c r="A118" t="s">
        <v>308</v>
      </c>
      <c r="B118" t="s">
        <v>309</v>
      </c>
      <c r="C118" t="s">
        <v>37</v>
      </c>
      <c r="D118" t="s">
        <v>46</v>
      </c>
      <c r="E118" t="s">
        <v>29</v>
      </c>
      <c r="F118" t="s">
        <v>29</v>
      </c>
      <c r="G118" t="s">
        <v>104</v>
      </c>
      <c r="H118" t="s">
        <v>41</v>
      </c>
      <c r="I118" t="str">
        <f t="shared" si="3"/>
        <v>GA8491-CGK</v>
      </c>
      <c r="J118" s="2">
        <v>46046</v>
      </c>
      <c r="K118" t="s">
        <v>310</v>
      </c>
      <c r="L118" t="s">
        <v>29</v>
      </c>
      <c r="M118" t="s">
        <v>29</v>
      </c>
      <c r="N118" t="s">
        <v>29</v>
      </c>
      <c r="O118" t="e">
        <v>#VALUE!</v>
      </c>
      <c r="P118" t="s">
        <v>29</v>
      </c>
      <c r="Q118" t="s">
        <v>35</v>
      </c>
      <c r="R118" t="s">
        <v>311</v>
      </c>
      <c r="S118" t="s">
        <v>41</v>
      </c>
      <c r="T118" t="str">
        <f t="shared" si="4"/>
        <v>GA8490-CGK</v>
      </c>
      <c r="U118" s="2">
        <v>46046</v>
      </c>
      <c r="V118" t="s">
        <v>249</v>
      </c>
      <c r="W118" t="s">
        <v>29</v>
      </c>
      <c r="X118" t="s">
        <v>29</v>
      </c>
      <c r="Y118" t="s">
        <v>29</v>
      </c>
      <c r="Z118" t="s">
        <v>34</v>
      </c>
      <c r="AA118">
        <f t="shared" si="5"/>
        <v>1</v>
      </c>
      <c r="AB118" t="s">
        <v>29</v>
      </c>
      <c r="AC118" t="s">
        <v>29</v>
      </c>
      <c r="AD118" t="s">
        <v>29</v>
      </c>
      <c r="AE118" t="s">
        <v>29</v>
      </c>
      <c r="AF118" t="s">
        <v>29</v>
      </c>
      <c r="AG118" t="s">
        <v>29</v>
      </c>
      <c r="AH118" t="s">
        <v>35</v>
      </c>
    </row>
    <row r="119" spans="1:34" x14ac:dyDescent="0.25">
      <c r="A119" t="s">
        <v>125</v>
      </c>
      <c r="B119" t="s">
        <v>63</v>
      </c>
      <c r="C119" t="s">
        <v>30</v>
      </c>
      <c r="D119" t="s">
        <v>30</v>
      </c>
      <c r="E119" t="s">
        <v>126</v>
      </c>
      <c r="F119" t="s">
        <v>29</v>
      </c>
      <c r="G119" t="s">
        <v>31</v>
      </c>
      <c r="H119" t="s">
        <v>127</v>
      </c>
      <c r="I119" t="str">
        <f t="shared" si="3"/>
        <v>K6131-SAI</v>
      </c>
      <c r="J119" s="2">
        <v>46046</v>
      </c>
      <c r="K119" t="s">
        <v>128</v>
      </c>
      <c r="L119" t="s">
        <v>335</v>
      </c>
      <c r="M119" t="s">
        <v>120</v>
      </c>
      <c r="N119" t="s">
        <v>336</v>
      </c>
      <c r="O119">
        <v>66</v>
      </c>
      <c r="P119" t="s">
        <v>29</v>
      </c>
      <c r="Q119" t="s">
        <v>85</v>
      </c>
      <c r="R119" t="s">
        <v>131</v>
      </c>
      <c r="S119" t="s">
        <v>127</v>
      </c>
      <c r="T119" t="str">
        <f t="shared" si="4"/>
        <v>K6130-SAI</v>
      </c>
      <c r="U119" s="2">
        <v>46046</v>
      </c>
      <c r="V119" t="s">
        <v>69</v>
      </c>
      <c r="W119" t="s">
        <v>216</v>
      </c>
      <c r="X119" t="s">
        <v>337</v>
      </c>
      <c r="Y119" t="s">
        <v>135</v>
      </c>
      <c r="Z119" t="s">
        <v>134</v>
      </c>
      <c r="AA119">
        <f t="shared" si="5"/>
        <v>59</v>
      </c>
      <c r="AB119" t="s">
        <v>34</v>
      </c>
      <c r="AC119" t="s">
        <v>134</v>
      </c>
      <c r="AD119" t="s">
        <v>173</v>
      </c>
      <c r="AE119" t="s">
        <v>46</v>
      </c>
      <c r="AF119" t="s">
        <v>136</v>
      </c>
      <c r="AG119" t="s">
        <v>29</v>
      </c>
      <c r="AH119" t="s">
        <v>89</v>
      </c>
    </row>
    <row r="120" spans="1:34" x14ac:dyDescent="0.25">
      <c r="A120" t="s">
        <v>72</v>
      </c>
      <c r="B120" t="s">
        <v>63</v>
      </c>
      <c r="C120" t="s">
        <v>30</v>
      </c>
      <c r="D120" t="s">
        <v>30</v>
      </c>
      <c r="E120" t="s">
        <v>144</v>
      </c>
      <c r="F120" t="s">
        <v>29</v>
      </c>
      <c r="G120" t="s">
        <v>31</v>
      </c>
      <c r="H120" t="s">
        <v>71</v>
      </c>
      <c r="I120" t="str">
        <f t="shared" si="3"/>
        <v>K6839-SGN</v>
      </c>
      <c r="J120" s="2">
        <v>46046</v>
      </c>
      <c r="K120" t="s">
        <v>312</v>
      </c>
      <c r="L120" t="s">
        <v>380</v>
      </c>
      <c r="M120" t="s">
        <v>312</v>
      </c>
      <c r="N120" t="s">
        <v>409</v>
      </c>
      <c r="O120">
        <v>59</v>
      </c>
      <c r="P120" t="s">
        <v>29</v>
      </c>
      <c r="Q120" t="s">
        <v>85</v>
      </c>
      <c r="R120" t="s">
        <v>70</v>
      </c>
      <c r="S120" t="s">
        <v>71</v>
      </c>
      <c r="T120" t="str">
        <f t="shared" si="4"/>
        <v>K6838-SGN</v>
      </c>
      <c r="U120" s="2">
        <v>46046</v>
      </c>
      <c r="V120" t="s">
        <v>316</v>
      </c>
      <c r="W120" t="s">
        <v>314</v>
      </c>
      <c r="X120" t="s">
        <v>403</v>
      </c>
      <c r="Y120" t="s">
        <v>350</v>
      </c>
      <c r="Z120" t="s">
        <v>350</v>
      </c>
      <c r="AA120">
        <f t="shared" si="5"/>
        <v>70</v>
      </c>
      <c r="AB120" t="s">
        <v>34</v>
      </c>
      <c r="AC120" t="s">
        <v>350</v>
      </c>
      <c r="AD120" t="s">
        <v>173</v>
      </c>
      <c r="AE120" t="s">
        <v>46</v>
      </c>
      <c r="AF120" t="s">
        <v>136</v>
      </c>
      <c r="AG120" t="s">
        <v>29</v>
      </c>
      <c r="AH120" t="s">
        <v>89</v>
      </c>
    </row>
    <row r="121" spans="1:34" x14ac:dyDescent="0.25">
      <c r="A121" t="s">
        <v>72</v>
      </c>
      <c r="B121" t="s">
        <v>63</v>
      </c>
      <c r="C121" t="s">
        <v>30</v>
      </c>
      <c r="D121" t="s">
        <v>30</v>
      </c>
      <c r="E121" t="s">
        <v>144</v>
      </c>
      <c r="F121" t="s">
        <v>29</v>
      </c>
      <c r="G121" t="s">
        <v>31</v>
      </c>
      <c r="H121" t="s">
        <v>71</v>
      </c>
      <c r="I121" t="str">
        <f t="shared" si="3"/>
        <v>K6839-SGN</v>
      </c>
      <c r="J121" s="2">
        <v>46047</v>
      </c>
      <c r="K121" t="s">
        <v>312</v>
      </c>
      <c r="L121" t="s">
        <v>29</v>
      </c>
      <c r="M121" t="s">
        <v>313</v>
      </c>
      <c r="N121" t="s">
        <v>314</v>
      </c>
      <c r="O121">
        <v>49</v>
      </c>
      <c r="P121" t="s">
        <v>29</v>
      </c>
      <c r="Q121" t="s">
        <v>85</v>
      </c>
      <c r="R121" t="s">
        <v>70</v>
      </c>
      <c r="S121" t="s">
        <v>71</v>
      </c>
      <c r="T121" t="str">
        <f t="shared" si="4"/>
        <v>K6838-SGN</v>
      </c>
      <c r="U121" s="2">
        <v>46047</v>
      </c>
      <c r="V121" t="s">
        <v>316</v>
      </c>
      <c r="W121" t="s">
        <v>317</v>
      </c>
      <c r="X121" t="s">
        <v>318</v>
      </c>
      <c r="Y121" t="s">
        <v>319</v>
      </c>
      <c r="Z121" t="s">
        <v>320</v>
      </c>
      <c r="AA121">
        <f t="shared" si="5"/>
        <v>69</v>
      </c>
      <c r="AB121" t="s">
        <v>34</v>
      </c>
      <c r="AC121" t="s">
        <v>320</v>
      </c>
      <c r="AD121" t="s">
        <v>90</v>
      </c>
      <c r="AE121" t="s">
        <v>46</v>
      </c>
      <c r="AF121" t="s">
        <v>136</v>
      </c>
      <c r="AG121" t="s">
        <v>29</v>
      </c>
      <c r="AH121" t="s">
        <v>89</v>
      </c>
    </row>
    <row r="122" spans="1:34" x14ac:dyDescent="0.25">
      <c r="A122" t="s">
        <v>188</v>
      </c>
      <c r="B122" t="s">
        <v>189</v>
      </c>
      <c r="C122" t="s">
        <v>30</v>
      </c>
      <c r="D122" t="s">
        <v>30</v>
      </c>
      <c r="E122" t="s">
        <v>338</v>
      </c>
      <c r="F122" t="s">
        <v>29</v>
      </c>
      <c r="G122" t="s">
        <v>38</v>
      </c>
      <c r="H122" t="s">
        <v>47</v>
      </c>
      <c r="I122" t="str">
        <f t="shared" si="3"/>
        <v>AK264-KUL</v>
      </c>
      <c r="J122" s="2">
        <v>46047</v>
      </c>
      <c r="K122" t="s">
        <v>205</v>
      </c>
      <c r="L122" t="s">
        <v>192</v>
      </c>
      <c r="M122" t="s">
        <v>192</v>
      </c>
      <c r="N122" t="s">
        <v>339</v>
      </c>
      <c r="O122">
        <v>135</v>
      </c>
      <c r="P122" t="s">
        <v>29</v>
      </c>
      <c r="Q122" t="s">
        <v>85</v>
      </c>
      <c r="R122" t="s">
        <v>195</v>
      </c>
      <c r="S122" t="s">
        <v>47</v>
      </c>
      <c r="T122" t="str">
        <f t="shared" si="4"/>
        <v>AK265-KUL</v>
      </c>
      <c r="U122" s="2">
        <v>46047</v>
      </c>
      <c r="V122" t="s">
        <v>215</v>
      </c>
      <c r="W122" t="s">
        <v>290</v>
      </c>
      <c r="X122" t="s">
        <v>341</v>
      </c>
      <c r="Y122" t="s">
        <v>29</v>
      </c>
      <c r="Z122" t="s">
        <v>225</v>
      </c>
      <c r="AA122">
        <f t="shared" si="5"/>
        <v>138</v>
      </c>
      <c r="AB122" t="s">
        <v>34</v>
      </c>
      <c r="AC122" t="s">
        <v>342</v>
      </c>
      <c r="AD122" t="s">
        <v>173</v>
      </c>
      <c r="AE122" t="s">
        <v>46</v>
      </c>
      <c r="AF122" t="s">
        <v>90</v>
      </c>
      <c r="AG122" t="s">
        <v>29</v>
      </c>
      <c r="AH122" t="s">
        <v>89</v>
      </c>
    </row>
    <row r="123" spans="1:34" x14ac:dyDescent="0.25">
      <c r="A123" t="s">
        <v>101</v>
      </c>
      <c r="B123" t="s">
        <v>102</v>
      </c>
      <c r="C123" t="s">
        <v>30</v>
      </c>
      <c r="D123" t="s">
        <v>30</v>
      </c>
      <c r="E123" t="s">
        <v>392</v>
      </c>
      <c r="F123" t="s">
        <v>29</v>
      </c>
      <c r="G123" t="s">
        <v>104</v>
      </c>
      <c r="H123" t="s">
        <v>105</v>
      </c>
      <c r="I123" t="str">
        <f t="shared" si="3"/>
        <v>DR5031-WUX</v>
      </c>
      <c r="J123" s="2">
        <v>46047</v>
      </c>
      <c r="K123" t="s">
        <v>106</v>
      </c>
      <c r="L123" t="s">
        <v>375</v>
      </c>
      <c r="M123" t="s">
        <v>374</v>
      </c>
      <c r="N123" t="s">
        <v>316</v>
      </c>
      <c r="O123">
        <v>60</v>
      </c>
      <c r="P123" t="s">
        <v>29</v>
      </c>
      <c r="Q123" t="s">
        <v>85</v>
      </c>
      <c r="R123" t="s">
        <v>110</v>
      </c>
      <c r="S123" t="s">
        <v>105</v>
      </c>
      <c r="T123" t="str">
        <f t="shared" si="4"/>
        <v>DR5032-WUX</v>
      </c>
      <c r="U123" s="2">
        <v>46047</v>
      </c>
      <c r="V123" t="s">
        <v>111</v>
      </c>
      <c r="W123" t="s">
        <v>268</v>
      </c>
      <c r="X123" t="s">
        <v>393</v>
      </c>
      <c r="Y123" t="s">
        <v>394</v>
      </c>
      <c r="Z123" t="s">
        <v>395</v>
      </c>
      <c r="AA123">
        <f t="shared" si="5"/>
        <v>145</v>
      </c>
      <c r="AB123" t="s">
        <v>34</v>
      </c>
      <c r="AC123" t="s">
        <v>395</v>
      </c>
      <c r="AD123" t="s">
        <v>173</v>
      </c>
      <c r="AE123" t="s">
        <v>46</v>
      </c>
      <c r="AF123" t="s">
        <v>90</v>
      </c>
      <c r="AG123" t="s">
        <v>29</v>
      </c>
      <c r="AH123" t="s">
        <v>89</v>
      </c>
    </row>
    <row r="124" spans="1:34" x14ac:dyDescent="0.25">
      <c r="A124" t="s">
        <v>93</v>
      </c>
      <c r="B124" t="s">
        <v>55</v>
      </c>
      <c r="C124" t="s">
        <v>37</v>
      </c>
      <c r="D124" t="s">
        <v>30</v>
      </c>
      <c r="E124" t="s">
        <v>94</v>
      </c>
      <c r="F124" t="s">
        <v>29</v>
      </c>
      <c r="G124" t="s">
        <v>38</v>
      </c>
      <c r="H124" t="s">
        <v>39</v>
      </c>
      <c r="I124" t="str">
        <f t="shared" si="3"/>
        <v>KR831-KTI</v>
      </c>
      <c r="J124" s="2">
        <v>46047</v>
      </c>
      <c r="K124" t="s">
        <v>95</v>
      </c>
      <c r="L124" t="s">
        <v>396</v>
      </c>
      <c r="M124" t="s">
        <v>141</v>
      </c>
      <c r="N124" t="s">
        <v>397</v>
      </c>
      <c r="O124">
        <v>1</v>
      </c>
      <c r="P124" t="s">
        <v>29</v>
      </c>
      <c r="Q124" t="s">
        <v>85</v>
      </c>
      <c r="R124" t="s">
        <v>97</v>
      </c>
      <c r="S124" t="s">
        <v>57</v>
      </c>
      <c r="T124" t="str">
        <f t="shared" si="4"/>
        <v>KR961-TFU</v>
      </c>
      <c r="U124" s="2">
        <v>46047</v>
      </c>
      <c r="V124" t="s">
        <v>77</v>
      </c>
      <c r="W124" t="s">
        <v>77</v>
      </c>
      <c r="X124" t="s">
        <v>398</v>
      </c>
      <c r="Y124" t="s">
        <v>293</v>
      </c>
      <c r="Z124" t="s">
        <v>399</v>
      </c>
      <c r="AA124">
        <f t="shared" si="5"/>
        <v>146</v>
      </c>
      <c r="AB124" t="s">
        <v>34</v>
      </c>
      <c r="AC124" t="s">
        <v>399</v>
      </c>
      <c r="AD124" t="s">
        <v>173</v>
      </c>
      <c r="AE124" t="s">
        <v>46</v>
      </c>
      <c r="AF124" t="s">
        <v>90</v>
      </c>
      <c r="AG124" t="s">
        <v>29</v>
      </c>
      <c r="AH124" t="s">
        <v>89</v>
      </c>
    </row>
    <row r="125" spans="1:34" x14ac:dyDescent="0.25">
      <c r="A125" t="s">
        <v>431</v>
      </c>
      <c r="B125" t="s">
        <v>51</v>
      </c>
      <c r="C125" t="s">
        <v>42</v>
      </c>
      <c r="D125" t="s">
        <v>42</v>
      </c>
      <c r="E125" t="s">
        <v>241</v>
      </c>
      <c r="F125" t="s">
        <v>29</v>
      </c>
      <c r="G125" t="s">
        <v>243</v>
      </c>
      <c r="H125" t="s">
        <v>41</v>
      </c>
      <c r="I125" t="str">
        <f t="shared" si="3"/>
        <v>GN086-CGK</v>
      </c>
      <c r="J125" s="2">
        <v>46047</v>
      </c>
      <c r="K125" t="s">
        <v>237</v>
      </c>
      <c r="L125" t="s">
        <v>52</v>
      </c>
      <c r="M125" t="s">
        <v>432</v>
      </c>
      <c r="N125" t="s">
        <v>244</v>
      </c>
      <c r="O125">
        <v>6</v>
      </c>
      <c r="P125" t="s">
        <v>29</v>
      </c>
      <c r="Q125" t="s">
        <v>85</v>
      </c>
      <c r="R125" t="s">
        <v>434</v>
      </c>
      <c r="S125" t="s">
        <v>41</v>
      </c>
      <c r="T125" t="str">
        <f t="shared" si="4"/>
        <v>GN087-CGK</v>
      </c>
      <c r="U125" s="2">
        <v>46049</v>
      </c>
      <c r="V125" t="s">
        <v>198</v>
      </c>
      <c r="W125" t="s">
        <v>301</v>
      </c>
      <c r="X125" t="s">
        <v>228</v>
      </c>
      <c r="Y125" t="s">
        <v>29</v>
      </c>
      <c r="Z125" t="s">
        <v>92</v>
      </c>
      <c r="AA125">
        <f t="shared" si="5"/>
        <v>8</v>
      </c>
      <c r="AB125" t="s">
        <v>34</v>
      </c>
      <c r="AC125" t="s">
        <v>92</v>
      </c>
      <c r="AD125" t="s">
        <v>100</v>
      </c>
      <c r="AE125" t="s">
        <v>46</v>
      </c>
      <c r="AF125" t="s">
        <v>29</v>
      </c>
      <c r="AG125" t="s">
        <v>29</v>
      </c>
      <c r="AH125" t="s">
        <v>89</v>
      </c>
    </row>
    <row r="126" spans="1:34" x14ac:dyDescent="0.25">
      <c r="A126" t="s">
        <v>54</v>
      </c>
      <c r="B126" t="s">
        <v>55</v>
      </c>
      <c r="C126" t="s">
        <v>30</v>
      </c>
      <c r="D126" t="s">
        <v>37</v>
      </c>
      <c r="E126" t="s">
        <v>94</v>
      </c>
      <c r="F126" t="s">
        <v>29</v>
      </c>
      <c r="G126" t="s">
        <v>38</v>
      </c>
      <c r="H126" t="s">
        <v>57</v>
      </c>
      <c r="I126" t="str">
        <f t="shared" si="3"/>
        <v>KR962-TFU</v>
      </c>
      <c r="J126" s="2">
        <v>46047</v>
      </c>
      <c r="K126" t="s">
        <v>58</v>
      </c>
      <c r="L126" t="s">
        <v>446</v>
      </c>
      <c r="M126" t="s">
        <v>447</v>
      </c>
      <c r="N126" t="s">
        <v>448</v>
      </c>
      <c r="O126">
        <v>32</v>
      </c>
      <c r="P126" t="s">
        <v>29</v>
      </c>
      <c r="Q126" t="s">
        <v>85</v>
      </c>
      <c r="R126" t="s">
        <v>86</v>
      </c>
      <c r="S126" t="s">
        <v>39</v>
      </c>
      <c r="T126" t="str">
        <f t="shared" si="4"/>
        <v>KR832-KTI</v>
      </c>
      <c r="U126" s="2">
        <v>46047</v>
      </c>
      <c r="V126" t="s">
        <v>87</v>
      </c>
      <c r="W126" t="s">
        <v>449</v>
      </c>
      <c r="X126" t="s">
        <v>443</v>
      </c>
      <c r="Y126" t="s">
        <v>29</v>
      </c>
      <c r="Z126" t="s">
        <v>34</v>
      </c>
      <c r="AA126">
        <f t="shared" si="5"/>
        <v>1</v>
      </c>
      <c r="AB126" t="s">
        <v>29</v>
      </c>
      <c r="AC126" t="s">
        <v>29</v>
      </c>
      <c r="AD126" t="s">
        <v>173</v>
      </c>
      <c r="AE126" t="s">
        <v>46</v>
      </c>
      <c r="AF126" t="s">
        <v>29</v>
      </c>
      <c r="AG126" t="s">
        <v>29</v>
      </c>
      <c r="AH126" t="s">
        <v>89</v>
      </c>
    </row>
    <row r="127" spans="1:34" x14ac:dyDescent="0.25">
      <c r="A127" t="s">
        <v>125</v>
      </c>
      <c r="B127" t="s">
        <v>63</v>
      </c>
      <c r="C127" t="s">
        <v>30</v>
      </c>
      <c r="D127" t="s">
        <v>30</v>
      </c>
      <c r="E127" t="s">
        <v>163</v>
      </c>
      <c r="F127" t="s">
        <v>29</v>
      </c>
      <c r="G127" t="s">
        <v>31</v>
      </c>
      <c r="H127" t="s">
        <v>127</v>
      </c>
      <c r="I127" t="str">
        <f t="shared" si="3"/>
        <v>K6131-SAI</v>
      </c>
      <c r="J127" s="2">
        <v>46047</v>
      </c>
      <c r="K127" t="s">
        <v>128</v>
      </c>
      <c r="L127" t="s">
        <v>457</v>
      </c>
      <c r="M127" t="s">
        <v>291</v>
      </c>
      <c r="N127" t="s">
        <v>204</v>
      </c>
      <c r="O127">
        <v>64</v>
      </c>
      <c r="P127" t="s">
        <v>29</v>
      </c>
      <c r="Q127" t="s">
        <v>85</v>
      </c>
      <c r="R127" t="s">
        <v>131</v>
      </c>
      <c r="S127" t="s">
        <v>127</v>
      </c>
      <c r="T127" t="str">
        <f t="shared" si="4"/>
        <v>K6130-SAI</v>
      </c>
      <c r="U127" s="2">
        <v>46047</v>
      </c>
      <c r="V127" t="s">
        <v>69</v>
      </c>
      <c r="W127" t="s">
        <v>458</v>
      </c>
      <c r="X127" t="s">
        <v>459</v>
      </c>
      <c r="Y127" t="s">
        <v>460</v>
      </c>
      <c r="Z127" t="s">
        <v>315</v>
      </c>
      <c r="AA127">
        <f t="shared" si="5"/>
        <v>49</v>
      </c>
      <c r="AB127" t="s">
        <v>34</v>
      </c>
      <c r="AC127" t="s">
        <v>330</v>
      </c>
      <c r="AD127" t="s">
        <v>114</v>
      </c>
      <c r="AE127" t="s">
        <v>46</v>
      </c>
      <c r="AF127" t="s">
        <v>100</v>
      </c>
      <c r="AG127" t="s">
        <v>29</v>
      </c>
      <c r="AH127" t="s">
        <v>89</v>
      </c>
    </row>
    <row r="128" spans="1:34" x14ac:dyDescent="0.25">
      <c r="A128" t="s">
        <v>143</v>
      </c>
      <c r="B128" t="s">
        <v>63</v>
      </c>
      <c r="C128" t="s">
        <v>30</v>
      </c>
      <c r="D128" t="s">
        <v>30</v>
      </c>
      <c r="E128" t="s">
        <v>126</v>
      </c>
      <c r="F128" t="s">
        <v>29</v>
      </c>
      <c r="G128" t="s">
        <v>31</v>
      </c>
      <c r="H128" t="s">
        <v>127</v>
      </c>
      <c r="I128" t="str">
        <f t="shared" si="3"/>
        <v>K6133-SAI</v>
      </c>
      <c r="J128" s="2">
        <v>46047</v>
      </c>
      <c r="K128" t="s">
        <v>381</v>
      </c>
      <c r="L128" t="s">
        <v>208</v>
      </c>
      <c r="M128" t="s">
        <v>263</v>
      </c>
      <c r="N128" t="s">
        <v>461</v>
      </c>
      <c r="O128">
        <v>55</v>
      </c>
      <c r="P128" t="s">
        <v>29</v>
      </c>
      <c r="Q128" t="s">
        <v>85</v>
      </c>
      <c r="R128" t="s">
        <v>149</v>
      </c>
      <c r="S128" t="s">
        <v>127</v>
      </c>
      <c r="T128" t="str">
        <f t="shared" si="4"/>
        <v>K6132-SAI</v>
      </c>
      <c r="U128" s="2">
        <v>46047</v>
      </c>
      <c r="V128" t="s">
        <v>462</v>
      </c>
      <c r="W128" t="s">
        <v>463</v>
      </c>
      <c r="X128" t="s">
        <v>462</v>
      </c>
      <c r="Y128" t="s">
        <v>220</v>
      </c>
      <c r="Z128" t="s">
        <v>220</v>
      </c>
      <c r="AA128">
        <f t="shared" si="5"/>
        <v>36</v>
      </c>
      <c r="AB128" t="s">
        <v>34</v>
      </c>
      <c r="AC128" t="s">
        <v>221</v>
      </c>
      <c r="AD128" t="s">
        <v>100</v>
      </c>
      <c r="AE128" t="s">
        <v>46</v>
      </c>
      <c r="AF128" t="s">
        <v>114</v>
      </c>
      <c r="AG128" t="s">
        <v>29</v>
      </c>
      <c r="AH128" t="s">
        <v>89</v>
      </c>
    </row>
    <row r="129" spans="1:34" x14ac:dyDescent="0.25">
      <c r="A129" t="s">
        <v>508</v>
      </c>
      <c r="B129" t="s">
        <v>451</v>
      </c>
      <c r="C129" t="s">
        <v>37</v>
      </c>
      <c r="D129" t="s">
        <v>46</v>
      </c>
      <c r="E129" t="s">
        <v>452</v>
      </c>
      <c r="F129" t="s">
        <v>29</v>
      </c>
      <c r="G129" t="s">
        <v>38</v>
      </c>
      <c r="H129" t="s">
        <v>456</v>
      </c>
      <c r="I129" t="str">
        <f t="shared" si="3"/>
        <v>ID5011-KNO</v>
      </c>
      <c r="J129" s="2">
        <v>46047</v>
      </c>
      <c r="K129" t="s">
        <v>491</v>
      </c>
      <c r="L129" t="s">
        <v>29</v>
      </c>
      <c r="M129" t="s">
        <v>355</v>
      </c>
      <c r="N129" t="s">
        <v>503</v>
      </c>
      <c r="O129">
        <v>1</v>
      </c>
      <c r="P129" t="s">
        <v>29</v>
      </c>
      <c r="Q129" t="s">
        <v>85</v>
      </c>
      <c r="R129" t="s">
        <v>509</v>
      </c>
      <c r="S129" t="s">
        <v>41</v>
      </c>
      <c r="T129" t="str">
        <f t="shared" si="4"/>
        <v>ID8883-CGK</v>
      </c>
      <c r="U129" s="2">
        <v>46047</v>
      </c>
      <c r="V129" t="s">
        <v>249</v>
      </c>
      <c r="W129" t="s">
        <v>390</v>
      </c>
      <c r="X129" t="s">
        <v>510</v>
      </c>
      <c r="Y129" t="s">
        <v>29</v>
      </c>
      <c r="Z129" t="s">
        <v>511</v>
      </c>
      <c r="AA129">
        <f t="shared" si="5"/>
        <v>44</v>
      </c>
      <c r="AB129" t="s">
        <v>34</v>
      </c>
      <c r="AC129" t="s">
        <v>511</v>
      </c>
      <c r="AD129" t="s">
        <v>173</v>
      </c>
      <c r="AE129" t="s">
        <v>46</v>
      </c>
      <c r="AF129" t="s">
        <v>100</v>
      </c>
      <c r="AG129" t="s">
        <v>29</v>
      </c>
      <c r="AH129" t="s">
        <v>89</v>
      </c>
    </row>
    <row r="130" spans="1:34" x14ac:dyDescent="0.25">
      <c r="A130" t="s">
        <v>188</v>
      </c>
      <c r="B130" t="s">
        <v>189</v>
      </c>
      <c r="C130" t="s">
        <v>30</v>
      </c>
      <c r="D130" t="s">
        <v>30</v>
      </c>
      <c r="E130" t="s">
        <v>285</v>
      </c>
      <c r="F130" t="s">
        <v>29</v>
      </c>
      <c r="G130" t="s">
        <v>286</v>
      </c>
      <c r="H130" t="s">
        <v>47</v>
      </c>
      <c r="I130" t="str">
        <f t="shared" si="3"/>
        <v>AK264-KUL</v>
      </c>
      <c r="J130" s="2">
        <v>46048</v>
      </c>
      <c r="K130" t="s">
        <v>205</v>
      </c>
      <c r="L130" t="s">
        <v>287</v>
      </c>
      <c r="M130" t="s">
        <v>288</v>
      </c>
      <c r="N130" t="s">
        <v>289</v>
      </c>
      <c r="O130">
        <v>110</v>
      </c>
      <c r="P130" t="s">
        <v>29</v>
      </c>
      <c r="Q130" t="s">
        <v>85</v>
      </c>
      <c r="R130" t="s">
        <v>195</v>
      </c>
      <c r="S130" t="s">
        <v>47</v>
      </c>
      <c r="T130" t="str">
        <f t="shared" si="4"/>
        <v>AK265-KUL</v>
      </c>
      <c r="U130" s="2">
        <v>46048</v>
      </c>
      <c r="V130" t="s">
        <v>215</v>
      </c>
      <c r="W130" t="s">
        <v>290</v>
      </c>
      <c r="X130" t="s">
        <v>291</v>
      </c>
      <c r="Y130" t="s">
        <v>29</v>
      </c>
      <c r="Z130" t="s">
        <v>292</v>
      </c>
      <c r="AA130">
        <f t="shared" si="5"/>
        <v>151</v>
      </c>
      <c r="AB130" t="s">
        <v>34</v>
      </c>
      <c r="AC130" t="s">
        <v>293</v>
      </c>
      <c r="AD130" t="s">
        <v>173</v>
      </c>
      <c r="AE130" t="s">
        <v>46</v>
      </c>
      <c r="AF130" t="s">
        <v>90</v>
      </c>
      <c r="AG130" t="s">
        <v>29</v>
      </c>
      <c r="AH130" t="s">
        <v>89</v>
      </c>
    </row>
    <row r="131" spans="1:34" x14ac:dyDescent="0.25">
      <c r="A131" t="s">
        <v>125</v>
      </c>
      <c r="B131" t="s">
        <v>63</v>
      </c>
      <c r="C131" t="s">
        <v>30</v>
      </c>
      <c r="D131" t="s">
        <v>30</v>
      </c>
      <c r="E131" t="s">
        <v>126</v>
      </c>
      <c r="F131" t="s">
        <v>29</v>
      </c>
      <c r="G131" t="s">
        <v>31</v>
      </c>
      <c r="H131" t="s">
        <v>127</v>
      </c>
      <c r="I131" t="str">
        <f t="shared" ref="I131:I161" si="6">_xlfn.CONCAT(A131,"-",H131)</f>
        <v>K6131-SAI</v>
      </c>
      <c r="J131" s="2">
        <v>46048</v>
      </c>
      <c r="K131" t="s">
        <v>128</v>
      </c>
      <c r="L131" t="s">
        <v>227</v>
      </c>
      <c r="M131" t="s">
        <v>329</v>
      </c>
      <c r="N131" t="s">
        <v>303</v>
      </c>
      <c r="O131">
        <v>48</v>
      </c>
      <c r="P131" t="s">
        <v>29</v>
      </c>
      <c r="Q131" t="s">
        <v>85</v>
      </c>
      <c r="R131" t="s">
        <v>131</v>
      </c>
      <c r="S131" t="s">
        <v>127</v>
      </c>
      <c r="T131" t="str">
        <f t="shared" ref="T131:T161" si="7">_xlfn.CONCAT(R131,"-",S131)</f>
        <v>K6130-SAI</v>
      </c>
      <c r="U131" s="2">
        <v>46048</v>
      </c>
      <c r="V131" t="s">
        <v>69</v>
      </c>
      <c r="W131" t="s">
        <v>331</v>
      </c>
      <c r="X131" t="s">
        <v>205</v>
      </c>
      <c r="Y131" t="s">
        <v>332</v>
      </c>
      <c r="Z131" t="s">
        <v>333</v>
      </c>
      <c r="AA131">
        <f t="shared" ref="AA131:AA161" si="8">Z131+1</f>
        <v>51</v>
      </c>
      <c r="AB131" t="s">
        <v>34</v>
      </c>
      <c r="AC131" t="s">
        <v>334</v>
      </c>
      <c r="AD131" t="s">
        <v>114</v>
      </c>
      <c r="AE131" t="s">
        <v>46</v>
      </c>
      <c r="AF131" t="s">
        <v>136</v>
      </c>
      <c r="AG131" t="s">
        <v>29</v>
      </c>
      <c r="AH131" t="s">
        <v>89</v>
      </c>
    </row>
    <row r="132" spans="1:34" x14ac:dyDescent="0.25">
      <c r="A132" t="s">
        <v>356</v>
      </c>
      <c r="B132" t="s">
        <v>63</v>
      </c>
      <c r="C132" t="s">
        <v>30</v>
      </c>
      <c r="D132" t="s">
        <v>30</v>
      </c>
      <c r="E132" t="s">
        <v>126</v>
      </c>
      <c r="F132" t="s">
        <v>29</v>
      </c>
      <c r="G132" t="s">
        <v>31</v>
      </c>
      <c r="H132" t="s">
        <v>127</v>
      </c>
      <c r="I132" t="str">
        <f t="shared" si="6"/>
        <v>K6135-SAI</v>
      </c>
      <c r="J132" s="2">
        <v>46048</v>
      </c>
      <c r="K132" t="s">
        <v>250</v>
      </c>
      <c r="L132" t="s">
        <v>29</v>
      </c>
      <c r="M132" t="s">
        <v>232</v>
      </c>
      <c r="N132" t="s">
        <v>385</v>
      </c>
      <c r="O132">
        <v>51</v>
      </c>
      <c r="P132" t="s">
        <v>29</v>
      </c>
      <c r="Q132" t="s">
        <v>85</v>
      </c>
      <c r="R132" t="s">
        <v>70</v>
      </c>
      <c r="S132" t="s">
        <v>71</v>
      </c>
      <c r="T132" t="str">
        <f t="shared" si="7"/>
        <v>K6838-SGN</v>
      </c>
      <c r="U132" s="2">
        <v>46048</v>
      </c>
      <c r="V132" t="s">
        <v>234</v>
      </c>
      <c r="W132" t="s">
        <v>252</v>
      </c>
      <c r="X132" t="s">
        <v>253</v>
      </c>
      <c r="Y132" t="s">
        <v>130</v>
      </c>
      <c r="Z132" t="s">
        <v>319</v>
      </c>
      <c r="AA132">
        <f t="shared" si="8"/>
        <v>71</v>
      </c>
      <c r="AB132" t="s">
        <v>34</v>
      </c>
      <c r="AC132" t="s">
        <v>319</v>
      </c>
      <c r="AD132" t="s">
        <v>212</v>
      </c>
      <c r="AE132" t="s">
        <v>46</v>
      </c>
      <c r="AF132" t="s">
        <v>136</v>
      </c>
      <c r="AG132" t="s">
        <v>29</v>
      </c>
      <c r="AH132" t="s">
        <v>89</v>
      </c>
    </row>
    <row r="133" spans="1:34" x14ac:dyDescent="0.25">
      <c r="A133" t="s">
        <v>437</v>
      </c>
      <c r="B133" t="s">
        <v>51</v>
      </c>
      <c r="C133" t="s">
        <v>410</v>
      </c>
      <c r="D133" t="s">
        <v>410</v>
      </c>
      <c r="E133" t="s">
        <v>438</v>
      </c>
      <c r="F133" t="s">
        <v>29</v>
      </c>
      <c r="G133" t="s">
        <v>439</v>
      </c>
      <c r="H133" t="s">
        <v>39</v>
      </c>
      <c r="I133" t="str">
        <f t="shared" si="6"/>
        <v>GN076-KTI</v>
      </c>
      <c r="J133" s="2">
        <v>46048</v>
      </c>
      <c r="K133" t="s">
        <v>277</v>
      </c>
      <c r="L133" t="s">
        <v>233</v>
      </c>
      <c r="M133" t="s">
        <v>440</v>
      </c>
      <c r="N133" t="s">
        <v>279</v>
      </c>
      <c r="O133">
        <v>1</v>
      </c>
      <c r="P133" t="s">
        <v>29</v>
      </c>
      <c r="Q133" t="s">
        <v>85</v>
      </c>
      <c r="R133" t="s">
        <v>441</v>
      </c>
      <c r="S133" t="s">
        <v>71</v>
      </c>
      <c r="T133" t="str">
        <f t="shared" si="7"/>
        <v>GN077-SGN</v>
      </c>
      <c r="U133" s="2">
        <v>46048</v>
      </c>
      <c r="V133" t="s">
        <v>442</v>
      </c>
      <c r="W133" t="s">
        <v>443</v>
      </c>
      <c r="X133" t="s">
        <v>87</v>
      </c>
      <c r="Y133" t="s">
        <v>29</v>
      </c>
      <c r="Z133" t="s">
        <v>444</v>
      </c>
      <c r="AA133">
        <f t="shared" si="8"/>
        <v>10</v>
      </c>
      <c r="AB133" t="s">
        <v>34</v>
      </c>
      <c r="AC133" t="s">
        <v>444</v>
      </c>
      <c r="AD133" t="s">
        <v>114</v>
      </c>
      <c r="AE133" t="s">
        <v>46</v>
      </c>
      <c r="AF133" t="s">
        <v>29</v>
      </c>
      <c r="AG133" t="s">
        <v>29</v>
      </c>
      <c r="AH133" t="s">
        <v>89</v>
      </c>
    </row>
    <row r="134" spans="1:34" x14ac:dyDescent="0.25">
      <c r="A134" t="s">
        <v>72</v>
      </c>
      <c r="B134" t="s">
        <v>63</v>
      </c>
      <c r="C134" t="s">
        <v>30</v>
      </c>
      <c r="D134" t="s">
        <v>30</v>
      </c>
      <c r="E134" t="s">
        <v>416</v>
      </c>
      <c r="F134" t="s">
        <v>29</v>
      </c>
      <c r="G134" t="s">
        <v>38</v>
      </c>
      <c r="H134" t="s">
        <v>71</v>
      </c>
      <c r="I134" t="str">
        <f t="shared" si="6"/>
        <v>K6839-SGN</v>
      </c>
      <c r="J134" s="2">
        <v>46048</v>
      </c>
      <c r="K134" t="s">
        <v>48</v>
      </c>
      <c r="L134" t="s">
        <v>494</v>
      </c>
      <c r="M134" t="s">
        <v>181</v>
      </c>
      <c r="N134" t="s">
        <v>274</v>
      </c>
      <c r="O134">
        <v>82</v>
      </c>
      <c r="P134" t="s">
        <v>29</v>
      </c>
      <c r="Q134" t="s">
        <v>85</v>
      </c>
      <c r="R134" t="s">
        <v>32</v>
      </c>
      <c r="S134" t="s">
        <v>33</v>
      </c>
      <c r="T134" t="str">
        <f t="shared" si="7"/>
        <v>K6930-SZX</v>
      </c>
      <c r="U134" s="2">
        <v>46048</v>
      </c>
      <c r="V134" t="s">
        <v>158</v>
      </c>
      <c r="W134" t="s">
        <v>495</v>
      </c>
      <c r="X134" t="s">
        <v>496</v>
      </c>
      <c r="Y134" t="s">
        <v>284</v>
      </c>
      <c r="Z134" t="s">
        <v>346</v>
      </c>
      <c r="AA134">
        <f t="shared" si="8"/>
        <v>149</v>
      </c>
      <c r="AB134" t="s">
        <v>34</v>
      </c>
      <c r="AC134" t="s">
        <v>497</v>
      </c>
      <c r="AD134" t="s">
        <v>173</v>
      </c>
      <c r="AE134" t="s">
        <v>46</v>
      </c>
      <c r="AF134" t="s">
        <v>136</v>
      </c>
      <c r="AG134" t="s">
        <v>29</v>
      </c>
      <c r="AH134" t="s">
        <v>89</v>
      </c>
    </row>
    <row r="135" spans="1:34" x14ac:dyDescent="0.25">
      <c r="A135" t="s">
        <v>170</v>
      </c>
      <c r="B135" t="s">
        <v>102</v>
      </c>
      <c r="C135" t="s">
        <v>30</v>
      </c>
      <c r="D135" t="s">
        <v>30</v>
      </c>
      <c r="E135" t="s">
        <v>171</v>
      </c>
      <c r="F135" t="s">
        <v>29</v>
      </c>
      <c r="G135" t="s">
        <v>104</v>
      </c>
      <c r="H135" t="s">
        <v>172</v>
      </c>
      <c r="I135" t="str">
        <f t="shared" si="6"/>
        <v>DR5029-KMG</v>
      </c>
      <c r="J135" s="2">
        <v>46049</v>
      </c>
      <c r="K135" t="s">
        <v>174</v>
      </c>
      <c r="L135" t="s">
        <v>175</v>
      </c>
      <c r="M135" t="s">
        <v>174</v>
      </c>
      <c r="N135" t="s">
        <v>176</v>
      </c>
      <c r="O135">
        <v>61</v>
      </c>
      <c r="P135" t="s">
        <v>29</v>
      </c>
      <c r="Q135" t="s">
        <v>85</v>
      </c>
      <c r="R135" t="s">
        <v>178</v>
      </c>
      <c r="S135" t="s">
        <v>172</v>
      </c>
      <c r="T135" t="str">
        <f t="shared" si="7"/>
        <v>DR5030-KMG</v>
      </c>
      <c r="U135" s="2">
        <v>46049</v>
      </c>
      <c r="V135" t="s">
        <v>179</v>
      </c>
      <c r="W135" t="s">
        <v>180</v>
      </c>
      <c r="X135" t="s">
        <v>181</v>
      </c>
      <c r="Y135" t="s">
        <v>182</v>
      </c>
      <c r="Z135" t="s">
        <v>183</v>
      </c>
      <c r="AA135">
        <f t="shared" si="8"/>
        <v>174</v>
      </c>
      <c r="AB135" t="s">
        <v>34</v>
      </c>
      <c r="AC135" t="s">
        <v>183</v>
      </c>
      <c r="AD135" t="s">
        <v>173</v>
      </c>
      <c r="AE135" t="s">
        <v>46</v>
      </c>
      <c r="AF135" t="s">
        <v>90</v>
      </c>
      <c r="AG135" t="s">
        <v>29</v>
      </c>
      <c r="AH135" t="s">
        <v>89</v>
      </c>
    </row>
    <row r="136" spans="1:34" x14ac:dyDescent="0.25">
      <c r="A136" t="s">
        <v>222</v>
      </c>
      <c r="B136" t="s">
        <v>223</v>
      </c>
      <c r="C136" t="s">
        <v>30</v>
      </c>
      <c r="D136" t="s">
        <v>30</v>
      </c>
      <c r="E136" t="s">
        <v>294</v>
      </c>
      <c r="F136" t="s">
        <v>29</v>
      </c>
      <c r="G136" t="s">
        <v>38</v>
      </c>
      <c r="H136" t="s">
        <v>47</v>
      </c>
      <c r="I136" t="str">
        <f t="shared" si="6"/>
        <v>KT174-KUL</v>
      </c>
      <c r="J136" s="2">
        <v>46049</v>
      </c>
      <c r="K136" t="s">
        <v>264</v>
      </c>
      <c r="L136" t="s">
        <v>299</v>
      </c>
      <c r="M136" t="s">
        <v>300</v>
      </c>
      <c r="N136" t="s">
        <v>301</v>
      </c>
      <c r="O136">
        <v>105</v>
      </c>
      <c r="P136" t="s">
        <v>29</v>
      </c>
      <c r="Q136" t="s">
        <v>85</v>
      </c>
      <c r="R136" t="s">
        <v>226</v>
      </c>
      <c r="S136" t="s">
        <v>47</v>
      </c>
      <c r="T136" t="str">
        <f t="shared" si="7"/>
        <v>KT175-KUL</v>
      </c>
      <c r="U136" s="2">
        <v>46049</v>
      </c>
      <c r="V136" t="s">
        <v>227</v>
      </c>
      <c r="W136" t="s">
        <v>303</v>
      </c>
      <c r="X136" t="s">
        <v>118</v>
      </c>
      <c r="Y136" t="s">
        <v>298</v>
      </c>
      <c r="Z136" t="s">
        <v>246</v>
      </c>
      <c r="AA136">
        <f t="shared" si="8"/>
        <v>131</v>
      </c>
      <c r="AB136" t="s">
        <v>34</v>
      </c>
      <c r="AC136" t="s">
        <v>246</v>
      </c>
      <c r="AD136" t="s">
        <v>173</v>
      </c>
      <c r="AE136" t="s">
        <v>46</v>
      </c>
      <c r="AF136" t="s">
        <v>90</v>
      </c>
      <c r="AG136" t="s">
        <v>29</v>
      </c>
      <c r="AH136" t="s">
        <v>89</v>
      </c>
    </row>
    <row r="137" spans="1:34" x14ac:dyDescent="0.25">
      <c r="A137" t="s">
        <v>125</v>
      </c>
      <c r="B137" t="s">
        <v>63</v>
      </c>
      <c r="C137" t="s">
        <v>30</v>
      </c>
      <c r="D137" t="s">
        <v>30</v>
      </c>
      <c r="E137" t="s">
        <v>126</v>
      </c>
      <c r="F137" t="s">
        <v>29</v>
      </c>
      <c r="G137" t="s">
        <v>31</v>
      </c>
      <c r="H137" t="s">
        <v>127</v>
      </c>
      <c r="I137" t="str">
        <f t="shared" si="6"/>
        <v>K6131-SAI</v>
      </c>
      <c r="J137" s="2">
        <v>46049</v>
      </c>
      <c r="K137" t="s">
        <v>128</v>
      </c>
      <c r="L137" t="s">
        <v>382</v>
      </c>
      <c r="M137" t="s">
        <v>383</v>
      </c>
      <c r="N137" t="s">
        <v>384</v>
      </c>
      <c r="O137">
        <v>72</v>
      </c>
      <c r="P137" t="s">
        <v>29</v>
      </c>
      <c r="Q137" t="s">
        <v>85</v>
      </c>
      <c r="R137" t="s">
        <v>131</v>
      </c>
      <c r="S137" t="s">
        <v>127</v>
      </c>
      <c r="T137" t="str">
        <f t="shared" si="7"/>
        <v>K6130-SAI</v>
      </c>
      <c r="U137" s="2">
        <v>46049</v>
      </c>
      <c r="V137" t="s">
        <v>69</v>
      </c>
      <c r="W137" t="s">
        <v>199</v>
      </c>
      <c r="X137" t="s">
        <v>201</v>
      </c>
      <c r="Y137" t="s">
        <v>109</v>
      </c>
      <c r="Z137" t="s">
        <v>332</v>
      </c>
      <c r="AA137">
        <f t="shared" si="8"/>
        <v>57</v>
      </c>
      <c r="AB137" t="s">
        <v>34</v>
      </c>
      <c r="AC137" t="s">
        <v>332</v>
      </c>
      <c r="AD137" t="s">
        <v>90</v>
      </c>
      <c r="AE137" t="s">
        <v>46</v>
      </c>
      <c r="AF137" t="s">
        <v>136</v>
      </c>
      <c r="AG137" t="s">
        <v>29</v>
      </c>
      <c r="AH137" t="s">
        <v>89</v>
      </c>
    </row>
    <row r="138" spans="1:34" x14ac:dyDescent="0.25">
      <c r="A138" t="s">
        <v>62</v>
      </c>
      <c r="B138" t="s">
        <v>63</v>
      </c>
      <c r="C138" t="s">
        <v>30</v>
      </c>
      <c r="D138" t="s">
        <v>30</v>
      </c>
      <c r="E138" t="s">
        <v>416</v>
      </c>
      <c r="F138" t="s">
        <v>29</v>
      </c>
      <c r="G138" t="s">
        <v>38</v>
      </c>
      <c r="H138" t="s">
        <v>33</v>
      </c>
      <c r="I138" t="str">
        <f t="shared" si="6"/>
        <v>K6931-SZX</v>
      </c>
      <c r="J138" s="2">
        <v>46049</v>
      </c>
      <c r="K138" t="s">
        <v>65</v>
      </c>
      <c r="L138" t="s">
        <v>29</v>
      </c>
      <c r="M138" t="s">
        <v>417</v>
      </c>
      <c r="N138" t="s">
        <v>418</v>
      </c>
      <c r="O138">
        <v>66</v>
      </c>
      <c r="P138" t="s">
        <v>29</v>
      </c>
      <c r="Q138" t="s">
        <v>85</v>
      </c>
      <c r="R138" t="s">
        <v>70</v>
      </c>
      <c r="S138" t="s">
        <v>71</v>
      </c>
      <c r="T138" t="str">
        <f t="shared" si="7"/>
        <v>K6838-SGN</v>
      </c>
      <c r="U138" s="2">
        <v>46049</v>
      </c>
      <c r="V138" t="s">
        <v>255</v>
      </c>
      <c r="W138" t="s">
        <v>419</v>
      </c>
      <c r="X138" t="s">
        <v>420</v>
      </c>
      <c r="Y138" t="s">
        <v>404</v>
      </c>
      <c r="Z138" t="s">
        <v>99</v>
      </c>
      <c r="AA138">
        <f t="shared" si="8"/>
        <v>159</v>
      </c>
      <c r="AB138" t="s">
        <v>34</v>
      </c>
      <c r="AC138" t="s">
        <v>421</v>
      </c>
      <c r="AD138" t="s">
        <v>173</v>
      </c>
      <c r="AE138" t="s">
        <v>46</v>
      </c>
      <c r="AF138" t="s">
        <v>136</v>
      </c>
      <c r="AG138" t="s">
        <v>29</v>
      </c>
      <c r="AH138" t="s">
        <v>89</v>
      </c>
    </row>
    <row r="139" spans="1:34" x14ac:dyDescent="0.25">
      <c r="A139" t="s">
        <v>143</v>
      </c>
      <c r="B139" t="s">
        <v>63</v>
      </c>
      <c r="C139" t="s">
        <v>30</v>
      </c>
      <c r="D139" t="s">
        <v>30</v>
      </c>
      <c r="E139" t="s">
        <v>163</v>
      </c>
      <c r="F139" t="s">
        <v>29</v>
      </c>
      <c r="G139" t="s">
        <v>31</v>
      </c>
      <c r="H139" t="s">
        <v>127</v>
      </c>
      <c r="I139" t="str">
        <f t="shared" si="6"/>
        <v>K6133-SAI</v>
      </c>
      <c r="J139" s="2">
        <v>46049</v>
      </c>
      <c r="K139" t="s">
        <v>145</v>
      </c>
      <c r="L139" t="s">
        <v>78</v>
      </c>
      <c r="M139" t="s">
        <v>78</v>
      </c>
      <c r="N139" t="s">
        <v>564</v>
      </c>
      <c r="O139">
        <v>55</v>
      </c>
      <c r="P139" t="s">
        <v>29</v>
      </c>
      <c r="Q139" t="s">
        <v>85</v>
      </c>
      <c r="R139" t="s">
        <v>149</v>
      </c>
      <c r="S139" t="s">
        <v>127</v>
      </c>
      <c r="T139" t="str">
        <f t="shared" si="7"/>
        <v>K6132-SAI</v>
      </c>
      <c r="U139" s="2">
        <v>46049</v>
      </c>
      <c r="V139" t="s">
        <v>150</v>
      </c>
      <c r="W139" t="s">
        <v>565</v>
      </c>
      <c r="X139" t="s">
        <v>282</v>
      </c>
      <c r="Y139" t="s">
        <v>278</v>
      </c>
      <c r="Z139" t="s">
        <v>487</v>
      </c>
      <c r="AA139">
        <f t="shared" si="8"/>
        <v>21</v>
      </c>
      <c r="AB139" t="s">
        <v>34</v>
      </c>
      <c r="AC139" t="s">
        <v>487</v>
      </c>
      <c r="AD139" t="s">
        <v>173</v>
      </c>
      <c r="AE139" t="s">
        <v>46</v>
      </c>
      <c r="AF139" t="s">
        <v>90</v>
      </c>
      <c r="AG139" t="s">
        <v>29</v>
      </c>
      <c r="AH139" t="s">
        <v>89</v>
      </c>
    </row>
    <row r="140" spans="1:34" x14ac:dyDescent="0.25">
      <c r="A140" t="s">
        <v>143</v>
      </c>
      <c r="B140" t="s">
        <v>63</v>
      </c>
      <c r="C140" t="s">
        <v>30</v>
      </c>
      <c r="D140" t="s">
        <v>30</v>
      </c>
      <c r="E140" t="s">
        <v>163</v>
      </c>
      <c r="F140" t="s">
        <v>29</v>
      </c>
      <c r="G140" t="s">
        <v>31</v>
      </c>
      <c r="H140" t="s">
        <v>127</v>
      </c>
      <c r="I140" t="str">
        <f t="shared" si="6"/>
        <v>K6133-SAI</v>
      </c>
      <c r="J140" s="2">
        <v>46050</v>
      </c>
      <c r="K140" t="s">
        <v>145</v>
      </c>
      <c r="L140" t="s">
        <v>321</v>
      </c>
      <c r="M140" t="s">
        <v>179</v>
      </c>
      <c r="N140" t="s">
        <v>322</v>
      </c>
      <c r="O140">
        <v>35</v>
      </c>
      <c r="P140" t="s">
        <v>29</v>
      </c>
      <c r="Q140" t="s">
        <v>85</v>
      </c>
      <c r="R140" t="s">
        <v>149</v>
      </c>
      <c r="S140" t="s">
        <v>127</v>
      </c>
      <c r="T140" t="str">
        <f t="shared" si="7"/>
        <v>K6132-SAI</v>
      </c>
      <c r="U140" s="2">
        <v>46050</v>
      </c>
      <c r="V140" t="s">
        <v>150</v>
      </c>
      <c r="W140" t="s">
        <v>147</v>
      </c>
      <c r="X140" t="s">
        <v>323</v>
      </c>
      <c r="Y140" t="s">
        <v>324</v>
      </c>
      <c r="Z140" t="s">
        <v>217</v>
      </c>
      <c r="AA140">
        <f t="shared" si="8"/>
        <v>16</v>
      </c>
      <c r="AB140" t="s">
        <v>34</v>
      </c>
      <c r="AC140" t="s">
        <v>217</v>
      </c>
      <c r="AD140" t="s">
        <v>173</v>
      </c>
      <c r="AE140" t="s">
        <v>46</v>
      </c>
      <c r="AF140" t="s">
        <v>100</v>
      </c>
      <c r="AG140" t="s">
        <v>29</v>
      </c>
      <c r="AH140" t="s">
        <v>89</v>
      </c>
    </row>
    <row r="141" spans="1:34" x14ac:dyDescent="0.25">
      <c r="A141" t="s">
        <v>188</v>
      </c>
      <c r="B141" t="s">
        <v>189</v>
      </c>
      <c r="C141" t="s">
        <v>30</v>
      </c>
      <c r="D141" t="s">
        <v>30</v>
      </c>
      <c r="E141" t="s">
        <v>343</v>
      </c>
      <c r="F141" t="s">
        <v>29</v>
      </c>
      <c r="G141" t="s">
        <v>38</v>
      </c>
      <c r="H141" t="s">
        <v>47</v>
      </c>
      <c r="I141" t="str">
        <f t="shared" si="6"/>
        <v>AK264-KUL</v>
      </c>
      <c r="J141" s="2">
        <v>46050</v>
      </c>
      <c r="K141" t="s">
        <v>205</v>
      </c>
      <c r="L141" t="s">
        <v>193</v>
      </c>
      <c r="M141" t="s">
        <v>339</v>
      </c>
      <c r="N141" t="s">
        <v>205</v>
      </c>
      <c r="O141">
        <v>102</v>
      </c>
      <c r="P141" t="s">
        <v>29</v>
      </c>
      <c r="Q141" t="s">
        <v>85</v>
      </c>
      <c r="R141" t="s">
        <v>195</v>
      </c>
      <c r="S141" t="s">
        <v>47</v>
      </c>
      <c r="T141" t="str">
        <f t="shared" si="7"/>
        <v>AK265-KUL</v>
      </c>
      <c r="U141" s="2">
        <v>46050</v>
      </c>
      <c r="V141" t="s">
        <v>215</v>
      </c>
      <c r="W141" t="s">
        <v>345</v>
      </c>
      <c r="X141" t="s">
        <v>341</v>
      </c>
      <c r="Y141" t="s">
        <v>29</v>
      </c>
      <c r="Z141" t="s">
        <v>293</v>
      </c>
      <c r="AA141">
        <f t="shared" si="8"/>
        <v>150</v>
      </c>
      <c r="AB141" t="s">
        <v>34</v>
      </c>
      <c r="AC141" t="s">
        <v>346</v>
      </c>
      <c r="AD141" t="s">
        <v>173</v>
      </c>
      <c r="AE141" t="s">
        <v>46</v>
      </c>
      <c r="AF141" t="s">
        <v>90</v>
      </c>
      <c r="AG141" t="s">
        <v>29</v>
      </c>
      <c r="AH141" t="s">
        <v>89</v>
      </c>
    </row>
    <row r="142" spans="1:34" x14ac:dyDescent="0.25">
      <c r="A142" t="s">
        <v>125</v>
      </c>
      <c r="B142" t="s">
        <v>63</v>
      </c>
      <c r="C142" t="s">
        <v>30</v>
      </c>
      <c r="D142" t="s">
        <v>30</v>
      </c>
      <c r="E142" t="s">
        <v>126</v>
      </c>
      <c r="F142" t="s">
        <v>29</v>
      </c>
      <c r="G142" t="s">
        <v>31</v>
      </c>
      <c r="H142" t="s">
        <v>127</v>
      </c>
      <c r="I142" t="str">
        <f t="shared" si="6"/>
        <v>K6131-SAI</v>
      </c>
      <c r="J142" s="2">
        <v>46050</v>
      </c>
      <c r="K142" t="s">
        <v>128</v>
      </c>
      <c r="L142" t="s">
        <v>122</v>
      </c>
      <c r="M142" t="s">
        <v>349</v>
      </c>
      <c r="N142" t="s">
        <v>129</v>
      </c>
      <c r="O142">
        <v>70</v>
      </c>
      <c r="P142" t="s">
        <v>29</v>
      </c>
      <c r="Q142" t="s">
        <v>85</v>
      </c>
      <c r="R142" t="s">
        <v>131</v>
      </c>
      <c r="S142" t="s">
        <v>127</v>
      </c>
      <c r="T142" t="str">
        <f t="shared" si="7"/>
        <v>K6130-SAI</v>
      </c>
      <c r="U142" s="2">
        <v>46050</v>
      </c>
      <c r="V142" t="s">
        <v>69</v>
      </c>
      <c r="W142" t="s">
        <v>207</v>
      </c>
      <c r="X142" t="s">
        <v>351</v>
      </c>
      <c r="Y142" t="s">
        <v>352</v>
      </c>
      <c r="Z142" t="s">
        <v>353</v>
      </c>
      <c r="AA142">
        <f t="shared" si="8"/>
        <v>52</v>
      </c>
      <c r="AB142" t="s">
        <v>34</v>
      </c>
      <c r="AC142" t="s">
        <v>353</v>
      </c>
      <c r="AD142" t="s">
        <v>114</v>
      </c>
      <c r="AE142" t="s">
        <v>46</v>
      </c>
      <c r="AF142" t="s">
        <v>136</v>
      </c>
      <c r="AG142" t="s">
        <v>29</v>
      </c>
      <c r="AH142" t="s">
        <v>89</v>
      </c>
    </row>
    <row r="143" spans="1:34" x14ac:dyDescent="0.25">
      <c r="A143" t="s">
        <v>72</v>
      </c>
      <c r="B143" t="s">
        <v>63</v>
      </c>
      <c r="C143" t="s">
        <v>30</v>
      </c>
      <c r="D143" t="s">
        <v>30</v>
      </c>
      <c r="E143" t="s">
        <v>144</v>
      </c>
      <c r="F143" t="s">
        <v>29</v>
      </c>
      <c r="G143" t="s">
        <v>31</v>
      </c>
      <c r="H143" t="s">
        <v>71</v>
      </c>
      <c r="I143" t="str">
        <f t="shared" si="6"/>
        <v>K6839-SGN</v>
      </c>
      <c r="J143" s="2">
        <v>46050</v>
      </c>
      <c r="K143" t="s">
        <v>312</v>
      </c>
      <c r="L143" t="s">
        <v>262</v>
      </c>
      <c r="M143" t="s">
        <v>400</v>
      </c>
      <c r="N143" t="s">
        <v>401</v>
      </c>
      <c r="O143">
        <v>46</v>
      </c>
      <c r="P143" t="s">
        <v>29</v>
      </c>
      <c r="Q143" t="s">
        <v>85</v>
      </c>
      <c r="R143" t="s">
        <v>70</v>
      </c>
      <c r="S143" t="s">
        <v>71</v>
      </c>
      <c r="T143" t="str">
        <f t="shared" si="7"/>
        <v>K6838-SGN</v>
      </c>
      <c r="U143" s="2">
        <v>46050</v>
      </c>
      <c r="V143" t="s">
        <v>316</v>
      </c>
      <c r="W143" t="s">
        <v>402</v>
      </c>
      <c r="X143" t="s">
        <v>403</v>
      </c>
      <c r="Y143" t="s">
        <v>130</v>
      </c>
      <c r="Z143" t="s">
        <v>350</v>
      </c>
      <c r="AA143">
        <f t="shared" si="8"/>
        <v>70</v>
      </c>
      <c r="AB143" t="s">
        <v>34</v>
      </c>
      <c r="AC143" t="s">
        <v>350</v>
      </c>
      <c r="AD143" t="s">
        <v>173</v>
      </c>
      <c r="AE143" t="s">
        <v>46</v>
      </c>
      <c r="AF143" t="s">
        <v>136</v>
      </c>
      <c r="AG143" t="s">
        <v>29</v>
      </c>
      <c r="AH143" t="s">
        <v>89</v>
      </c>
    </row>
    <row r="144" spans="1:34" x14ac:dyDescent="0.25">
      <c r="A144" t="s">
        <v>93</v>
      </c>
      <c r="B144" t="s">
        <v>55</v>
      </c>
      <c r="C144" t="s">
        <v>37</v>
      </c>
      <c r="D144" t="s">
        <v>30</v>
      </c>
      <c r="E144" t="s">
        <v>94</v>
      </c>
      <c r="F144" t="s">
        <v>29</v>
      </c>
      <c r="G144" t="s">
        <v>38</v>
      </c>
      <c r="H144" t="s">
        <v>39</v>
      </c>
      <c r="I144" t="str">
        <f t="shared" si="6"/>
        <v>KR831-KTI</v>
      </c>
      <c r="J144" s="2">
        <v>46050</v>
      </c>
      <c r="K144" t="s">
        <v>95</v>
      </c>
      <c r="L144" t="s">
        <v>96</v>
      </c>
      <c r="M144" t="s">
        <v>406</v>
      </c>
      <c r="N144" t="s">
        <v>407</v>
      </c>
      <c r="O144">
        <v>1</v>
      </c>
      <c r="P144" t="s">
        <v>29</v>
      </c>
      <c r="Q144" t="s">
        <v>85</v>
      </c>
      <c r="R144" t="s">
        <v>97</v>
      </c>
      <c r="S144" t="s">
        <v>57</v>
      </c>
      <c r="T144" t="str">
        <f t="shared" si="7"/>
        <v>KR961-TFU</v>
      </c>
      <c r="U144" s="2">
        <v>46050</v>
      </c>
      <c r="V144" t="s">
        <v>77</v>
      </c>
      <c r="W144" t="s">
        <v>408</v>
      </c>
      <c r="X144" t="s">
        <v>391</v>
      </c>
      <c r="Y144" t="s">
        <v>98</v>
      </c>
      <c r="Z144" t="s">
        <v>161</v>
      </c>
      <c r="AA144">
        <f t="shared" si="8"/>
        <v>153</v>
      </c>
      <c r="AB144" t="s">
        <v>34</v>
      </c>
      <c r="AC144" t="s">
        <v>161</v>
      </c>
      <c r="AD144" t="s">
        <v>173</v>
      </c>
      <c r="AE144" t="s">
        <v>46</v>
      </c>
      <c r="AF144" t="s">
        <v>90</v>
      </c>
      <c r="AG144" t="s">
        <v>29</v>
      </c>
      <c r="AH144" t="s">
        <v>89</v>
      </c>
    </row>
    <row r="145" spans="1:34" x14ac:dyDescent="0.25">
      <c r="A145" t="s">
        <v>54</v>
      </c>
      <c r="B145" t="s">
        <v>55</v>
      </c>
      <c r="C145" t="s">
        <v>30</v>
      </c>
      <c r="D145" t="s">
        <v>37</v>
      </c>
      <c r="E145" t="s">
        <v>94</v>
      </c>
      <c r="F145" t="s">
        <v>29</v>
      </c>
      <c r="G145" t="s">
        <v>38</v>
      </c>
      <c r="H145" t="s">
        <v>57</v>
      </c>
      <c r="I145" t="str">
        <f t="shared" si="6"/>
        <v>KR962-TFU</v>
      </c>
      <c r="J145" s="2">
        <v>46050</v>
      </c>
      <c r="K145" t="s">
        <v>58</v>
      </c>
      <c r="L145" t="s">
        <v>423</v>
      </c>
      <c r="M145" t="s">
        <v>423</v>
      </c>
      <c r="N145" t="s">
        <v>424</v>
      </c>
      <c r="O145">
        <v>42</v>
      </c>
      <c r="P145" t="s">
        <v>29</v>
      </c>
      <c r="Q145" t="s">
        <v>85</v>
      </c>
      <c r="R145" t="s">
        <v>86</v>
      </c>
      <c r="S145" t="s">
        <v>39</v>
      </c>
      <c r="T145" t="str">
        <f t="shared" si="7"/>
        <v>KR832-KTI</v>
      </c>
      <c r="U145" s="2">
        <v>46050</v>
      </c>
      <c r="V145" t="s">
        <v>87</v>
      </c>
      <c r="W145" t="s">
        <v>425</v>
      </c>
      <c r="X145" t="s">
        <v>426</v>
      </c>
      <c r="Y145" t="s">
        <v>29</v>
      </c>
      <c r="Z145" t="s">
        <v>34</v>
      </c>
      <c r="AA145">
        <f t="shared" si="8"/>
        <v>1</v>
      </c>
      <c r="AB145" t="s">
        <v>29</v>
      </c>
      <c r="AC145" t="s">
        <v>29</v>
      </c>
      <c r="AD145" t="s">
        <v>173</v>
      </c>
      <c r="AE145" t="s">
        <v>46</v>
      </c>
      <c r="AF145" t="s">
        <v>29</v>
      </c>
      <c r="AG145" t="s">
        <v>29</v>
      </c>
      <c r="AH145" t="s">
        <v>89</v>
      </c>
    </row>
    <row r="146" spans="1:34" x14ac:dyDescent="0.25">
      <c r="A146" t="s">
        <v>356</v>
      </c>
      <c r="B146" t="s">
        <v>63</v>
      </c>
      <c r="C146" t="s">
        <v>30</v>
      </c>
      <c r="D146" t="s">
        <v>30</v>
      </c>
      <c r="E146" t="s">
        <v>144</v>
      </c>
      <c r="F146" t="s">
        <v>29</v>
      </c>
      <c r="G146" t="s">
        <v>31</v>
      </c>
      <c r="H146" t="s">
        <v>127</v>
      </c>
      <c r="I146" t="str">
        <f t="shared" si="6"/>
        <v>K6135-SAI</v>
      </c>
      <c r="J146" s="2">
        <v>46051</v>
      </c>
      <c r="K146" t="s">
        <v>250</v>
      </c>
      <c r="L146" t="s">
        <v>49</v>
      </c>
      <c r="M146" t="s">
        <v>49</v>
      </c>
      <c r="N146" t="s">
        <v>358</v>
      </c>
      <c r="O146">
        <v>44</v>
      </c>
      <c r="P146" t="s">
        <v>29</v>
      </c>
      <c r="Q146" t="s">
        <v>85</v>
      </c>
      <c r="R146" t="s">
        <v>70</v>
      </c>
      <c r="S146" t="s">
        <v>71</v>
      </c>
      <c r="T146" t="str">
        <f t="shared" si="7"/>
        <v>K6838-SGN</v>
      </c>
      <c r="U146" s="2">
        <v>46051</v>
      </c>
      <c r="V146" t="s">
        <v>234</v>
      </c>
      <c r="W146" t="s">
        <v>239</v>
      </c>
      <c r="X146" t="s">
        <v>366</v>
      </c>
      <c r="Y146" t="s">
        <v>319</v>
      </c>
      <c r="Z146" t="s">
        <v>130</v>
      </c>
      <c r="AA146">
        <f t="shared" si="8"/>
        <v>72</v>
      </c>
      <c r="AB146" t="s">
        <v>34</v>
      </c>
      <c r="AC146" t="s">
        <v>130</v>
      </c>
      <c r="AD146" t="s">
        <v>173</v>
      </c>
      <c r="AE146" t="s">
        <v>46</v>
      </c>
      <c r="AF146" t="s">
        <v>136</v>
      </c>
      <c r="AG146" t="s">
        <v>29</v>
      </c>
      <c r="AH146" t="s">
        <v>89</v>
      </c>
    </row>
    <row r="147" spans="1:34" x14ac:dyDescent="0.25">
      <c r="A147" t="s">
        <v>222</v>
      </c>
      <c r="B147" t="s">
        <v>223</v>
      </c>
      <c r="C147" t="s">
        <v>30</v>
      </c>
      <c r="D147" t="s">
        <v>30</v>
      </c>
      <c r="E147" t="s">
        <v>224</v>
      </c>
      <c r="F147" t="s">
        <v>29</v>
      </c>
      <c r="G147" t="s">
        <v>38</v>
      </c>
      <c r="H147" t="s">
        <v>47</v>
      </c>
      <c r="I147" t="str">
        <f t="shared" si="6"/>
        <v>KT174-KUL</v>
      </c>
      <c r="J147" s="2">
        <v>46051</v>
      </c>
      <c r="K147" t="s">
        <v>264</v>
      </c>
      <c r="L147" t="s">
        <v>560</v>
      </c>
      <c r="M147" t="s">
        <v>265</v>
      </c>
      <c r="N147" t="s">
        <v>562</v>
      </c>
      <c r="O147">
        <v>120</v>
      </c>
      <c r="P147" t="s">
        <v>29</v>
      </c>
      <c r="Q147" t="s">
        <v>85</v>
      </c>
      <c r="R147" t="s">
        <v>226</v>
      </c>
      <c r="S147" t="s">
        <v>47</v>
      </c>
      <c r="T147" t="str">
        <f t="shared" si="7"/>
        <v>KT175-KUL</v>
      </c>
      <c r="U147" s="2">
        <v>46051</v>
      </c>
      <c r="V147" t="s">
        <v>227</v>
      </c>
      <c r="W147" t="s">
        <v>530</v>
      </c>
      <c r="X147" t="s">
        <v>306</v>
      </c>
      <c r="Y147" t="s">
        <v>563</v>
      </c>
      <c r="Z147" t="s">
        <v>529</v>
      </c>
      <c r="AA147">
        <f t="shared" si="8"/>
        <v>154</v>
      </c>
      <c r="AB147" t="s">
        <v>34</v>
      </c>
      <c r="AC147" t="s">
        <v>529</v>
      </c>
      <c r="AD147" t="s">
        <v>173</v>
      </c>
      <c r="AE147" t="s">
        <v>46</v>
      </c>
      <c r="AF147" t="s">
        <v>114</v>
      </c>
      <c r="AG147" t="s">
        <v>29</v>
      </c>
      <c r="AH147" t="s">
        <v>89</v>
      </c>
    </row>
    <row r="148" spans="1:34" x14ac:dyDescent="0.25">
      <c r="A148" t="s">
        <v>72</v>
      </c>
      <c r="B148" t="s">
        <v>63</v>
      </c>
      <c r="C148" t="s">
        <v>30</v>
      </c>
      <c r="D148" t="s">
        <v>30</v>
      </c>
      <c r="E148" t="s">
        <v>154</v>
      </c>
      <c r="F148" t="s">
        <v>29</v>
      </c>
      <c r="G148" t="s">
        <v>64</v>
      </c>
      <c r="H148" t="s">
        <v>71</v>
      </c>
      <c r="I148" t="str">
        <f t="shared" si="6"/>
        <v>K6839-SGN</v>
      </c>
      <c r="J148" s="2">
        <v>46051</v>
      </c>
      <c r="K148" t="s">
        <v>48</v>
      </c>
      <c r="L148" t="s">
        <v>570</v>
      </c>
      <c r="M148" t="s">
        <v>371</v>
      </c>
      <c r="N148" t="s">
        <v>50</v>
      </c>
      <c r="O148">
        <v>70</v>
      </c>
      <c r="P148" t="s">
        <v>29</v>
      </c>
      <c r="Q148" t="s">
        <v>85</v>
      </c>
      <c r="R148" t="s">
        <v>32</v>
      </c>
      <c r="S148" t="s">
        <v>33</v>
      </c>
      <c r="T148" t="str">
        <f t="shared" si="7"/>
        <v>K6930-SZX</v>
      </c>
      <c r="U148" s="2">
        <v>46051</v>
      </c>
      <c r="V148" t="s">
        <v>158</v>
      </c>
      <c r="W148" t="s">
        <v>147</v>
      </c>
      <c r="X148" t="s">
        <v>571</v>
      </c>
      <c r="Y148" t="s">
        <v>404</v>
      </c>
      <c r="Z148" t="s">
        <v>298</v>
      </c>
      <c r="AA148">
        <f t="shared" si="8"/>
        <v>169</v>
      </c>
      <c r="AB148" t="s">
        <v>34</v>
      </c>
      <c r="AC148" t="s">
        <v>298</v>
      </c>
      <c r="AD148" t="s">
        <v>173</v>
      </c>
      <c r="AE148" t="s">
        <v>46</v>
      </c>
      <c r="AF148" t="s">
        <v>136</v>
      </c>
      <c r="AG148" t="s">
        <v>29</v>
      </c>
      <c r="AH148" t="s">
        <v>89</v>
      </c>
    </row>
    <row r="149" spans="1:34" x14ac:dyDescent="0.25">
      <c r="A149" t="s">
        <v>125</v>
      </c>
      <c r="B149" t="s">
        <v>63</v>
      </c>
      <c r="C149" t="s">
        <v>30</v>
      </c>
      <c r="D149" t="s">
        <v>30</v>
      </c>
      <c r="E149" t="s">
        <v>144</v>
      </c>
      <c r="F149" t="s">
        <v>29</v>
      </c>
      <c r="G149" t="s">
        <v>31</v>
      </c>
      <c r="H149" t="s">
        <v>127</v>
      </c>
      <c r="I149" t="str">
        <f t="shared" si="6"/>
        <v>K6131-SAI</v>
      </c>
      <c r="J149" s="2">
        <v>46051</v>
      </c>
      <c r="K149" t="s">
        <v>128</v>
      </c>
      <c r="L149" t="s">
        <v>267</v>
      </c>
      <c r="M149" t="s">
        <v>267</v>
      </c>
      <c r="N149" t="s">
        <v>303</v>
      </c>
      <c r="O149">
        <v>56</v>
      </c>
      <c r="P149" t="s">
        <v>29</v>
      </c>
      <c r="Q149" t="s">
        <v>85</v>
      </c>
      <c r="R149" t="s">
        <v>131</v>
      </c>
      <c r="S149" t="s">
        <v>127</v>
      </c>
      <c r="T149" t="str">
        <f t="shared" si="7"/>
        <v>K6130-SAI</v>
      </c>
      <c r="U149" s="2">
        <v>46051</v>
      </c>
      <c r="V149" t="s">
        <v>69</v>
      </c>
      <c r="W149" t="s">
        <v>339</v>
      </c>
      <c r="X149" t="s">
        <v>199</v>
      </c>
      <c r="Y149" t="s">
        <v>157</v>
      </c>
      <c r="Z149" t="s">
        <v>276</v>
      </c>
      <c r="AA149">
        <f t="shared" si="8"/>
        <v>66</v>
      </c>
      <c r="AB149" t="s">
        <v>34</v>
      </c>
      <c r="AC149" t="s">
        <v>276</v>
      </c>
      <c r="AD149" t="s">
        <v>114</v>
      </c>
      <c r="AE149" t="s">
        <v>46</v>
      </c>
      <c r="AF149" t="s">
        <v>100</v>
      </c>
      <c r="AG149" t="s">
        <v>29</v>
      </c>
      <c r="AH149" t="s">
        <v>89</v>
      </c>
    </row>
    <row r="150" spans="1:34" x14ac:dyDescent="0.25">
      <c r="A150" t="s">
        <v>115</v>
      </c>
      <c r="B150" t="s">
        <v>51</v>
      </c>
      <c r="C150" t="s">
        <v>37</v>
      </c>
      <c r="D150" t="s">
        <v>42</v>
      </c>
      <c r="E150" t="s">
        <v>116</v>
      </c>
      <c r="F150" t="s">
        <v>29</v>
      </c>
      <c r="G150" t="s">
        <v>80</v>
      </c>
      <c r="H150" t="s">
        <v>44</v>
      </c>
      <c r="I150" t="str">
        <f t="shared" si="6"/>
        <v>GN088-SZB</v>
      </c>
      <c r="J150" s="2">
        <v>46052</v>
      </c>
      <c r="K150" t="s">
        <v>117</v>
      </c>
      <c r="L150" t="s">
        <v>118</v>
      </c>
      <c r="M150" t="s">
        <v>119</v>
      </c>
      <c r="N150" t="s">
        <v>120</v>
      </c>
      <c r="O150">
        <v>1</v>
      </c>
      <c r="P150" t="s">
        <v>29</v>
      </c>
      <c r="Q150" t="s">
        <v>85</v>
      </c>
      <c r="R150" t="s">
        <v>121</v>
      </c>
      <c r="S150" t="s">
        <v>44</v>
      </c>
      <c r="T150" t="str">
        <f t="shared" si="7"/>
        <v>GN089-SZB</v>
      </c>
      <c r="U150" s="2">
        <v>46052</v>
      </c>
      <c r="V150" t="s">
        <v>91</v>
      </c>
      <c r="W150" t="s">
        <v>122</v>
      </c>
      <c r="X150" t="s">
        <v>123</v>
      </c>
      <c r="Y150" t="s">
        <v>29</v>
      </c>
      <c r="Z150" t="s">
        <v>124</v>
      </c>
      <c r="AA150">
        <f t="shared" si="8"/>
        <v>12</v>
      </c>
      <c r="AB150" t="s">
        <v>34</v>
      </c>
      <c r="AC150" t="s">
        <v>124</v>
      </c>
      <c r="AD150" t="s">
        <v>114</v>
      </c>
      <c r="AE150" t="s">
        <v>46</v>
      </c>
      <c r="AF150" t="s">
        <v>29</v>
      </c>
      <c r="AG150" t="s">
        <v>29</v>
      </c>
      <c r="AH150" t="s">
        <v>89</v>
      </c>
    </row>
    <row r="151" spans="1:34" x14ac:dyDescent="0.25">
      <c r="A151" t="s">
        <v>137</v>
      </c>
      <c r="B151" t="s">
        <v>36</v>
      </c>
      <c r="C151" t="s">
        <v>138</v>
      </c>
      <c r="D151" t="s">
        <v>138</v>
      </c>
      <c r="E151" t="s">
        <v>139</v>
      </c>
      <c r="F151" t="s">
        <v>29</v>
      </c>
      <c r="G151" t="s">
        <v>38</v>
      </c>
      <c r="H151" t="s">
        <v>39</v>
      </c>
      <c r="I151" t="str">
        <f t="shared" si="6"/>
        <v>ZA1219-KTI</v>
      </c>
      <c r="J151" s="2">
        <v>46052</v>
      </c>
      <c r="K151" t="s">
        <v>140</v>
      </c>
      <c r="L151" t="s">
        <v>29</v>
      </c>
      <c r="M151" t="s">
        <v>162</v>
      </c>
      <c r="N151" t="s">
        <v>162</v>
      </c>
      <c r="O151">
        <v>1</v>
      </c>
      <c r="P151" t="s">
        <v>29</v>
      </c>
      <c r="Q151" t="s">
        <v>85</v>
      </c>
      <c r="R151" t="s">
        <v>137</v>
      </c>
      <c r="S151" t="s">
        <v>39</v>
      </c>
      <c r="T151" t="str">
        <f t="shared" si="7"/>
        <v>ZA1219-KTI</v>
      </c>
      <c r="U151" s="2">
        <v>46052</v>
      </c>
      <c r="V151" t="s">
        <v>142</v>
      </c>
      <c r="W151" t="s">
        <v>142</v>
      </c>
      <c r="X151" t="s">
        <v>142</v>
      </c>
      <c r="Y151" t="s">
        <v>29</v>
      </c>
      <c r="Z151" t="s">
        <v>34</v>
      </c>
      <c r="AA151">
        <f t="shared" si="8"/>
        <v>1</v>
      </c>
      <c r="AB151" t="s">
        <v>29</v>
      </c>
      <c r="AC151" t="s">
        <v>29</v>
      </c>
      <c r="AD151" t="s">
        <v>29</v>
      </c>
      <c r="AE151" t="s">
        <v>46</v>
      </c>
      <c r="AF151" t="s">
        <v>29</v>
      </c>
      <c r="AG151" t="s">
        <v>29</v>
      </c>
      <c r="AH151" t="s">
        <v>89</v>
      </c>
    </row>
    <row r="152" spans="1:34" x14ac:dyDescent="0.25">
      <c r="A152" t="s">
        <v>143</v>
      </c>
      <c r="B152" t="s">
        <v>63</v>
      </c>
      <c r="C152" t="s">
        <v>30</v>
      </c>
      <c r="D152" t="s">
        <v>30</v>
      </c>
      <c r="E152" t="s">
        <v>163</v>
      </c>
      <c r="F152" t="s">
        <v>29</v>
      </c>
      <c r="G152" t="s">
        <v>31</v>
      </c>
      <c r="H152" t="s">
        <v>127</v>
      </c>
      <c r="I152" t="str">
        <f t="shared" si="6"/>
        <v>K6133-SAI</v>
      </c>
      <c r="J152" s="2">
        <v>46052</v>
      </c>
      <c r="K152" t="s">
        <v>164</v>
      </c>
      <c r="L152" t="s">
        <v>29</v>
      </c>
      <c r="M152" t="s">
        <v>165</v>
      </c>
      <c r="N152" t="s">
        <v>166</v>
      </c>
      <c r="O152">
        <v>37</v>
      </c>
      <c r="P152" t="s">
        <v>29</v>
      </c>
      <c r="Q152" t="s">
        <v>85</v>
      </c>
      <c r="R152" t="s">
        <v>149</v>
      </c>
      <c r="S152" t="s">
        <v>127</v>
      </c>
      <c r="T152" t="str">
        <f t="shared" si="7"/>
        <v>K6132-SAI</v>
      </c>
      <c r="U152" s="2">
        <v>46052</v>
      </c>
      <c r="V152" t="s">
        <v>167</v>
      </c>
      <c r="W152" t="s">
        <v>168</v>
      </c>
      <c r="X152" t="s">
        <v>169</v>
      </c>
      <c r="Y152" t="s">
        <v>153</v>
      </c>
      <c r="Z152" t="s">
        <v>153</v>
      </c>
      <c r="AA152">
        <f t="shared" si="8"/>
        <v>33</v>
      </c>
      <c r="AB152" t="s">
        <v>34</v>
      </c>
      <c r="AC152" t="s">
        <v>153</v>
      </c>
      <c r="AD152" t="s">
        <v>83</v>
      </c>
      <c r="AE152" t="s">
        <v>46</v>
      </c>
      <c r="AF152" t="s">
        <v>136</v>
      </c>
      <c r="AG152" t="s">
        <v>29</v>
      </c>
      <c r="AH152" t="s">
        <v>89</v>
      </c>
    </row>
    <row r="153" spans="1:34" x14ac:dyDescent="0.25">
      <c r="A153" t="s">
        <v>188</v>
      </c>
      <c r="B153" t="s">
        <v>189</v>
      </c>
      <c r="C153" t="s">
        <v>30</v>
      </c>
      <c r="D153" t="s">
        <v>30</v>
      </c>
      <c r="E153" t="s">
        <v>581</v>
      </c>
      <c r="F153" t="s">
        <v>29</v>
      </c>
      <c r="G153" t="s">
        <v>38</v>
      </c>
      <c r="H153" t="s">
        <v>47</v>
      </c>
      <c r="I153" t="str">
        <f t="shared" si="6"/>
        <v>AK264-KUL</v>
      </c>
      <c r="J153" s="2">
        <v>46052</v>
      </c>
      <c r="K153" t="s">
        <v>205</v>
      </c>
      <c r="L153" t="s">
        <v>193</v>
      </c>
      <c r="M153" t="s">
        <v>191</v>
      </c>
      <c r="N153" t="s">
        <v>45</v>
      </c>
      <c r="O153">
        <v>82</v>
      </c>
      <c r="P153" t="s">
        <v>29</v>
      </c>
      <c r="Q153" t="s">
        <v>85</v>
      </c>
      <c r="R153" t="s">
        <v>195</v>
      </c>
      <c r="S153" t="s">
        <v>47</v>
      </c>
      <c r="T153" t="str">
        <f t="shared" si="7"/>
        <v>AK265-KUL</v>
      </c>
      <c r="U153" s="2">
        <v>46052</v>
      </c>
      <c r="V153" t="s">
        <v>215</v>
      </c>
      <c r="W153" t="s">
        <v>482</v>
      </c>
      <c r="X153" t="s">
        <v>582</v>
      </c>
      <c r="Y153" t="s">
        <v>373</v>
      </c>
      <c r="Z153" t="s">
        <v>346</v>
      </c>
      <c r="AA153">
        <f t="shared" si="8"/>
        <v>149</v>
      </c>
      <c r="AB153" t="s">
        <v>34</v>
      </c>
      <c r="AC153" t="s">
        <v>394</v>
      </c>
      <c r="AD153" t="s">
        <v>83</v>
      </c>
      <c r="AE153" t="s">
        <v>46</v>
      </c>
      <c r="AF153" t="s">
        <v>114</v>
      </c>
      <c r="AG153" t="s">
        <v>29</v>
      </c>
      <c r="AH153" t="s">
        <v>89</v>
      </c>
    </row>
    <row r="154" spans="1:34" x14ac:dyDescent="0.25">
      <c r="A154" t="s">
        <v>125</v>
      </c>
      <c r="B154" t="s">
        <v>63</v>
      </c>
      <c r="C154" t="s">
        <v>30</v>
      </c>
      <c r="D154" t="s">
        <v>30</v>
      </c>
      <c r="E154" t="s">
        <v>144</v>
      </c>
      <c r="F154" t="s">
        <v>29</v>
      </c>
      <c r="G154" t="s">
        <v>31</v>
      </c>
      <c r="H154" t="s">
        <v>127</v>
      </c>
      <c r="I154" t="str">
        <f t="shared" si="6"/>
        <v>K6131-SAI</v>
      </c>
      <c r="J154" s="2">
        <v>46052</v>
      </c>
      <c r="K154" t="s">
        <v>128</v>
      </c>
      <c r="L154" t="s">
        <v>544</v>
      </c>
      <c r="M154" t="s">
        <v>544</v>
      </c>
      <c r="N154" t="s">
        <v>436</v>
      </c>
      <c r="O154">
        <v>70</v>
      </c>
      <c r="P154" t="s">
        <v>29</v>
      </c>
      <c r="Q154" t="s">
        <v>85</v>
      </c>
      <c r="R154" t="s">
        <v>131</v>
      </c>
      <c r="S154" t="s">
        <v>127</v>
      </c>
      <c r="T154" t="str">
        <f t="shared" si="7"/>
        <v>K6130-SAI</v>
      </c>
      <c r="U154" s="2">
        <v>46052</v>
      </c>
      <c r="V154" t="s">
        <v>69</v>
      </c>
      <c r="W154" t="s">
        <v>472</v>
      </c>
      <c r="X154" t="s">
        <v>45</v>
      </c>
      <c r="Y154" t="s">
        <v>460</v>
      </c>
      <c r="Z154" t="s">
        <v>353</v>
      </c>
      <c r="AA154">
        <f t="shared" si="8"/>
        <v>52</v>
      </c>
      <c r="AB154" t="s">
        <v>34</v>
      </c>
      <c r="AC154" t="s">
        <v>353</v>
      </c>
      <c r="AD154" t="s">
        <v>173</v>
      </c>
      <c r="AE154" t="s">
        <v>46</v>
      </c>
      <c r="AF154" t="s">
        <v>136</v>
      </c>
      <c r="AG154" t="s">
        <v>29</v>
      </c>
      <c r="AH154" t="s">
        <v>89</v>
      </c>
    </row>
    <row r="155" spans="1:34" x14ac:dyDescent="0.25">
      <c r="A155" t="s">
        <v>62</v>
      </c>
      <c r="B155" t="s">
        <v>63</v>
      </c>
      <c r="C155" t="s">
        <v>30</v>
      </c>
      <c r="D155" t="s">
        <v>30</v>
      </c>
      <c r="E155" t="s">
        <v>154</v>
      </c>
      <c r="F155" t="s">
        <v>29</v>
      </c>
      <c r="G155" t="s">
        <v>64</v>
      </c>
      <c r="H155" t="s">
        <v>33</v>
      </c>
      <c r="I155" t="str">
        <f t="shared" si="6"/>
        <v>K6931-SZX</v>
      </c>
      <c r="J155" s="2">
        <v>46052</v>
      </c>
      <c r="K155" t="s">
        <v>65</v>
      </c>
      <c r="L155" t="s">
        <v>417</v>
      </c>
      <c r="M155" t="s">
        <v>540</v>
      </c>
      <c r="N155" t="s">
        <v>587</v>
      </c>
      <c r="O155">
        <v>70</v>
      </c>
      <c r="P155" t="s">
        <v>29</v>
      </c>
      <c r="Q155" t="s">
        <v>85</v>
      </c>
      <c r="R155" t="s">
        <v>70</v>
      </c>
      <c r="S155" t="s">
        <v>71</v>
      </c>
      <c r="T155" t="str">
        <f t="shared" si="7"/>
        <v>K6838-SGN</v>
      </c>
      <c r="U155" s="2">
        <v>46052</v>
      </c>
      <c r="V155" t="s">
        <v>255</v>
      </c>
      <c r="W155" t="s">
        <v>420</v>
      </c>
      <c r="X155" t="s">
        <v>397</v>
      </c>
      <c r="Y155" t="s">
        <v>557</v>
      </c>
      <c r="Z155" t="s">
        <v>588</v>
      </c>
      <c r="AA155">
        <f t="shared" si="8"/>
        <v>167</v>
      </c>
      <c r="AB155" t="s">
        <v>34</v>
      </c>
      <c r="AC155" t="s">
        <v>588</v>
      </c>
      <c r="AD155" t="s">
        <v>83</v>
      </c>
      <c r="AE155" t="s">
        <v>46</v>
      </c>
      <c r="AF155" t="s">
        <v>136</v>
      </c>
      <c r="AG155" t="s">
        <v>29</v>
      </c>
      <c r="AH155" t="s">
        <v>89</v>
      </c>
    </row>
    <row r="156" spans="1:34" x14ac:dyDescent="0.25">
      <c r="A156" t="s">
        <v>125</v>
      </c>
      <c r="B156" t="s">
        <v>63</v>
      </c>
      <c r="C156" t="s">
        <v>30</v>
      </c>
      <c r="D156" t="s">
        <v>30</v>
      </c>
      <c r="E156" t="s">
        <v>126</v>
      </c>
      <c r="F156" t="s">
        <v>29</v>
      </c>
      <c r="G156" t="s">
        <v>31</v>
      </c>
      <c r="H156" t="s">
        <v>127</v>
      </c>
      <c r="I156" t="str">
        <f t="shared" si="6"/>
        <v>K6131-SAI</v>
      </c>
      <c r="J156" s="2">
        <v>46053</v>
      </c>
      <c r="K156" t="s">
        <v>128</v>
      </c>
      <c r="L156" t="s">
        <v>69</v>
      </c>
      <c r="M156" t="s">
        <v>122</v>
      </c>
      <c r="N156" t="s">
        <v>129</v>
      </c>
      <c r="O156">
        <v>72</v>
      </c>
      <c r="P156" t="s">
        <v>29</v>
      </c>
      <c r="Q156" t="s">
        <v>85</v>
      </c>
      <c r="R156" t="s">
        <v>131</v>
      </c>
      <c r="S156" t="s">
        <v>127</v>
      </c>
      <c r="T156" t="str">
        <f t="shared" si="7"/>
        <v>K6130-SAI</v>
      </c>
      <c r="U156" s="2">
        <v>46053</v>
      </c>
      <c r="V156" t="s">
        <v>69</v>
      </c>
      <c r="W156" t="s">
        <v>132</v>
      </c>
      <c r="X156" t="s">
        <v>133</v>
      </c>
      <c r="Y156" t="s">
        <v>134</v>
      </c>
      <c r="Z156" t="s">
        <v>135</v>
      </c>
      <c r="AA156">
        <f t="shared" si="8"/>
        <v>60</v>
      </c>
      <c r="AB156" t="s">
        <v>34</v>
      </c>
      <c r="AC156" t="s">
        <v>135</v>
      </c>
      <c r="AD156" t="s">
        <v>83</v>
      </c>
      <c r="AE156" t="s">
        <v>46</v>
      </c>
      <c r="AF156" t="s">
        <v>136</v>
      </c>
      <c r="AG156" t="s">
        <v>29</v>
      </c>
      <c r="AH156" t="s">
        <v>89</v>
      </c>
    </row>
    <row r="157" spans="1:34" x14ac:dyDescent="0.25">
      <c r="A157" t="s">
        <v>137</v>
      </c>
      <c r="B157" t="s">
        <v>36</v>
      </c>
      <c r="C157" t="s">
        <v>138</v>
      </c>
      <c r="D157" t="s">
        <v>138</v>
      </c>
      <c r="E157" t="s">
        <v>139</v>
      </c>
      <c r="F157" t="s">
        <v>29</v>
      </c>
      <c r="G157" t="s">
        <v>38</v>
      </c>
      <c r="H157" t="s">
        <v>39</v>
      </c>
      <c r="I157" t="str">
        <f t="shared" si="6"/>
        <v>ZA1219-KTI</v>
      </c>
      <c r="J157" s="2">
        <v>46053</v>
      </c>
      <c r="K157" t="s">
        <v>140</v>
      </c>
      <c r="L157" t="s">
        <v>29</v>
      </c>
      <c r="M157" t="s">
        <v>141</v>
      </c>
      <c r="N157" t="s">
        <v>141</v>
      </c>
      <c r="O157">
        <v>1</v>
      </c>
      <c r="P157" t="s">
        <v>29</v>
      </c>
      <c r="Q157" t="s">
        <v>85</v>
      </c>
      <c r="R157" t="s">
        <v>137</v>
      </c>
      <c r="S157" t="s">
        <v>39</v>
      </c>
      <c r="T157" t="str">
        <f t="shared" si="7"/>
        <v>ZA1219-KTI</v>
      </c>
      <c r="U157" s="2">
        <v>46053</v>
      </c>
      <c r="V157" t="s">
        <v>142</v>
      </c>
      <c r="W157" t="s">
        <v>77</v>
      </c>
      <c r="X157" t="s">
        <v>77</v>
      </c>
      <c r="Y157" t="s">
        <v>29</v>
      </c>
      <c r="Z157" t="s">
        <v>34</v>
      </c>
      <c r="AA157">
        <f t="shared" si="8"/>
        <v>1</v>
      </c>
      <c r="AB157" t="s">
        <v>29</v>
      </c>
      <c r="AC157" t="s">
        <v>29</v>
      </c>
      <c r="AD157" t="s">
        <v>29</v>
      </c>
      <c r="AE157" t="s">
        <v>46</v>
      </c>
      <c r="AF157" t="s">
        <v>29</v>
      </c>
      <c r="AG157" t="s">
        <v>29</v>
      </c>
      <c r="AH157" t="s">
        <v>89</v>
      </c>
    </row>
    <row r="158" spans="1:34" x14ac:dyDescent="0.25">
      <c r="A158" t="s">
        <v>143</v>
      </c>
      <c r="B158" t="s">
        <v>63</v>
      </c>
      <c r="C158" t="s">
        <v>30</v>
      </c>
      <c r="D158" t="s">
        <v>30</v>
      </c>
      <c r="E158" t="s">
        <v>144</v>
      </c>
      <c r="F158" t="s">
        <v>29</v>
      </c>
      <c r="G158" t="s">
        <v>31</v>
      </c>
      <c r="H158" t="s">
        <v>127</v>
      </c>
      <c r="I158" t="str">
        <f t="shared" si="6"/>
        <v>K6133-SAI</v>
      </c>
      <c r="J158" s="2">
        <v>46053</v>
      </c>
      <c r="K158" t="s">
        <v>145</v>
      </c>
      <c r="L158" t="s">
        <v>29</v>
      </c>
      <c r="M158" t="s">
        <v>146</v>
      </c>
      <c r="N158" t="s">
        <v>147</v>
      </c>
      <c r="O158">
        <v>47</v>
      </c>
      <c r="P158" t="s">
        <v>29</v>
      </c>
      <c r="Q158" t="s">
        <v>85</v>
      </c>
      <c r="R158" t="s">
        <v>149</v>
      </c>
      <c r="S158" t="s">
        <v>127</v>
      </c>
      <c r="T158" t="str">
        <f t="shared" si="7"/>
        <v>K6132-SAI</v>
      </c>
      <c r="U158" s="2">
        <v>46053</v>
      </c>
      <c r="V158" t="s">
        <v>150</v>
      </c>
      <c r="W158" t="s">
        <v>151</v>
      </c>
      <c r="X158" t="s">
        <v>152</v>
      </c>
      <c r="Y158" t="s">
        <v>153</v>
      </c>
      <c r="Z158" t="s">
        <v>84</v>
      </c>
      <c r="AA158">
        <f t="shared" si="8"/>
        <v>32</v>
      </c>
      <c r="AB158" t="s">
        <v>34</v>
      </c>
      <c r="AC158" t="s">
        <v>84</v>
      </c>
      <c r="AD158" t="s">
        <v>83</v>
      </c>
      <c r="AE158" t="s">
        <v>46</v>
      </c>
      <c r="AF158" t="s">
        <v>136</v>
      </c>
      <c r="AG158" t="s">
        <v>29</v>
      </c>
      <c r="AH158" t="s">
        <v>89</v>
      </c>
    </row>
    <row r="159" spans="1:34" x14ac:dyDescent="0.25">
      <c r="A159" t="s">
        <v>170</v>
      </c>
      <c r="B159" t="s">
        <v>102</v>
      </c>
      <c r="C159" t="s">
        <v>30</v>
      </c>
      <c r="D159" t="s">
        <v>30</v>
      </c>
      <c r="E159" t="s">
        <v>551</v>
      </c>
      <c r="F159" t="s">
        <v>29</v>
      </c>
      <c r="G159" t="s">
        <v>552</v>
      </c>
      <c r="H159" t="s">
        <v>172</v>
      </c>
      <c r="I159" t="str">
        <f t="shared" si="6"/>
        <v>DR5029-KMG</v>
      </c>
      <c r="J159" s="2">
        <v>46053</v>
      </c>
      <c r="K159" t="s">
        <v>174</v>
      </c>
      <c r="L159" t="s">
        <v>29</v>
      </c>
      <c r="M159" t="s">
        <v>553</v>
      </c>
      <c r="N159" t="s">
        <v>554</v>
      </c>
      <c r="O159">
        <v>34</v>
      </c>
      <c r="P159" t="s">
        <v>29</v>
      </c>
      <c r="Q159" t="s">
        <v>85</v>
      </c>
      <c r="R159" t="s">
        <v>178</v>
      </c>
      <c r="S159" t="s">
        <v>172</v>
      </c>
      <c r="T159" t="str">
        <f t="shared" si="7"/>
        <v>DR5030-KMG</v>
      </c>
      <c r="U159" s="2">
        <v>46053</v>
      </c>
      <c r="V159" t="s">
        <v>179</v>
      </c>
      <c r="W159" t="s">
        <v>465</v>
      </c>
      <c r="X159" t="s">
        <v>555</v>
      </c>
      <c r="Y159" t="s">
        <v>556</v>
      </c>
      <c r="Z159" t="s">
        <v>557</v>
      </c>
      <c r="AA159">
        <f t="shared" si="8"/>
        <v>176</v>
      </c>
      <c r="AB159" t="s">
        <v>34</v>
      </c>
      <c r="AC159" t="s">
        <v>183</v>
      </c>
      <c r="AD159" t="s">
        <v>83</v>
      </c>
      <c r="AE159" t="s">
        <v>46</v>
      </c>
      <c r="AF159" t="s">
        <v>114</v>
      </c>
      <c r="AG159" t="s">
        <v>29</v>
      </c>
      <c r="AH159" t="s">
        <v>89</v>
      </c>
    </row>
    <row r="160" spans="1:34" x14ac:dyDescent="0.25">
      <c r="A160" t="s">
        <v>222</v>
      </c>
      <c r="B160" t="s">
        <v>223</v>
      </c>
      <c r="C160" t="s">
        <v>30</v>
      </c>
      <c r="D160" t="s">
        <v>30</v>
      </c>
      <c r="E160" t="s">
        <v>294</v>
      </c>
      <c r="F160" t="s">
        <v>29</v>
      </c>
      <c r="G160" t="s">
        <v>38</v>
      </c>
      <c r="H160" t="s">
        <v>47</v>
      </c>
      <c r="I160" t="str">
        <f t="shared" si="6"/>
        <v>KT174-KUL</v>
      </c>
      <c r="J160" s="2">
        <v>46053</v>
      </c>
      <c r="K160" t="s">
        <v>264</v>
      </c>
      <c r="L160" t="s">
        <v>264</v>
      </c>
      <c r="M160" t="s">
        <v>489</v>
      </c>
      <c r="N160" t="s">
        <v>560</v>
      </c>
      <c r="O160">
        <v>91</v>
      </c>
      <c r="P160" t="s">
        <v>29</v>
      </c>
      <c r="Q160" t="s">
        <v>85</v>
      </c>
      <c r="R160" t="s">
        <v>226</v>
      </c>
      <c r="S160" t="s">
        <v>47</v>
      </c>
      <c r="T160" t="str">
        <f t="shared" si="7"/>
        <v>KT175-KUL</v>
      </c>
      <c r="U160" s="2">
        <v>46053</v>
      </c>
      <c r="V160" t="s">
        <v>227</v>
      </c>
      <c r="W160" t="s">
        <v>270</v>
      </c>
      <c r="X160" t="s">
        <v>267</v>
      </c>
      <c r="Y160" t="s">
        <v>29</v>
      </c>
      <c r="Z160" t="s">
        <v>293</v>
      </c>
      <c r="AA160">
        <f t="shared" si="8"/>
        <v>150</v>
      </c>
      <c r="AB160" t="s">
        <v>34</v>
      </c>
      <c r="AC160" t="s">
        <v>346</v>
      </c>
      <c r="AD160" t="s">
        <v>83</v>
      </c>
      <c r="AE160" t="s">
        <v>46</v>
      </c>
      <c r="AF160" t="s">
        <v>114</v>
      </c>
      <c r="AG160" t="s">
        <v>29</v>
      </c>
      <c r="AH160" t="s">
        <v>89</v>
      </c>
    </row>
    <row r="161" spans="1:34" x14ac:dyDescent="0.25">
      <c r="A161" t="s">
        <v>72</v>
      </c>
      <c r="B161" t="s">
        <v>63</v>
      </c>
      <c r="C161" t="s">
        <v>30</v>
      </c>
      <c r="D161" t="s">
        <v>30</v>
      </c>
      <c r="E161" t="s">
        <v>163</v>
      </c>
      <c r="F161" t="s">
        <v>29</v>
      </c>
      <c r="G161" t="s">
        <v>31</v>
      </c>
      <c r="H161" t="s">
        <v>71</v>
      </c>
      <c r="I161" t="str">
        <f t="shared" si="6"/>
        <v>K6839-SGN</v>
      </c>
      <c r="J161" s="2">
        <v>46053</v>
      </c>
      <c r="K161" t="s">
        <v>312</v>
      </c>
      <c r="L161" t="s">
        <v>461</v>
      </c>
      <c r="M161" t="s">
        <v>567</v>
      </c>
      <c r="N161" t="s">
        <v>568</v>
      </c>
      <c r="O161">
        <v>55</v>
      </c>
      <c r="P161" t="s">
        <v>29</v>
      </c>
      <c r="Q161" t="s">
        <v>85</v>
      </c>
      <c r="R161" t="s">
        <v>70</v>
      </c>
      <c r="S161" t="s">
        <v>71</v>
      </c>
      <c r="T161" t="str">
        <f t="shared" si="7"/>
        <v>K6838-SGN</v>
      </c>
      <c r="U161" s="2">
        <v>46053</v>
      </c>
      <c r="V161" t="s">
        <v>316</v>
      </c>
      <c r="W161" t="s">
        <v>525</v>
      </c>
      <c r="X161" t="s">
        <v>569</v>
      </c>
      <c r="Y161" t="s">
        <v>130</v>
      </c>
      <c r="Z161" t="s">
        <v>130</v>
      </c>
      <c r="AA161">
        <f t="shared" si="8"/>
        <v>72</v>
      </c>
      <c r="AB161" t="s">
        <v>34</v>
      </c>
      <c r="AC161" t="s">
        <v>350</v>
      </c>
      <c r="AD161" t="s">
        <v>83</v>
      </c>
      <c r="AE161" t="s">
        <v>46</v>
      </c>
      <c r="AF161" t="s">
        <v>136</v>
      </c>
      <c r="AG161" t="s">
        <v>29</v>
      </c>
      <c r="AH161" t="s">
        <v>89</v>
      </c>
    </row>
  </sheetData>
  <sheetProtection algorithmName="SHA-512" hashValue="uCsVHWH/n3oWQvcbx0bNv5B4Eerun4wSO8xbLKx4TVNdzzEC+sDSBBrUz/vA1cN6n7Z214DXzAIjoGrRd0CU1Q==" saltValue="xQxA/SA/1AgxUg6ScOE6lA==" spinCount="100000" sheet="1" objects="1" scenarios="1" selectLockedCells="1" sort="0" autoFilter="0" selectUnlockedCell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K162"/>
  <sheetViews>
    <sheetView workbookViewId="0">
      <pane xSplit="1" ySplit="1" topLeftCell="B2" activePane="bottomRight" state="frozen"/>
      <selection pane="topRight" activeCell="B1" sqref="B1"/>
      <selection pane="bottomLeft" activeCell="A2" sqref="A2"/>
      <selection pane="bottomRight" activeCell="K163" sqref="K163"/>
    </sheetView>
  </sheetViews>
  <sheetFormatPr defaultRowHeight="15" x14ac:dyDescent="0.25"/>
  <cols>
    <col min="1" max="1" width="29.5703125" customWidth="1"/>
    <col min="2" max="2" width="22.140625" customWidth="1"/>
    <col min="3" max="3" width="23.140625" customWidth="1"/>
    <col min="5" max="5" width="9.5703125" customWidth="1"/>
    <col min="6" max="7" width="9.85546875" customWidth="1"/>
    <col min="8" max="8" width="18.140625" customWidth="1"/>
    <col min="10" max="10" width="15" customWidth="1"/>
    <col min="11" max="11" width="14.7109375" customWidth="1"/>
  </cols>
  <sheetData>
    <row r="1" spans="1:11" x14ac:dyDescent="0.25">
      <c r="A1" s="1" t="s">
        <v>1</v>
      </c>
      <c r="B1" s="1" t="s">
        <v>788</v>
      </c>
      <c r="C1" s="1" t="s">
        <v>8</v>
      </c>
      <c r="D1" s="1" t="s">
        <v>9</v>
      </c>
      <c r="E1" s="1" t="s">
        <v>787</v>
      </c>
      <c r="F1" s="1" t="s">
        <v>13</v>
      </c>
      <c r="G1" s="1" t="s">
        <v>14</v>
      </c>
      <c r="H1" s="1" t="s">
        <v>789</v>
      </c>
      <c r="I1" s="1" t="s">
        <v>16</v>
      </c>
      <c r="J1" s="1" t="s">
        <v>790</v>
      </c>
      <c r="K1" s="1" t="s">
        <v>28</v>
      </c>
    </row>
    <row r="2" spans="1:11" x14ac:dyDescent="0.25">
      <c r="A2" t="s">
        <v>858</v>
      </c>
      <c r="B2" t="s">
        <v>791</v>
      </c>
      <c r="C2" s="2">
        <v>46023</v>
      </c>
      <c r="D2" t="s">
        <v>250</v>
      </c>
      <c r="E2">
        <v>51</v>
      </c>
      <c r="F2" t="s">
        <v>29</v>
      </c>
      <c r="G2" t="s">
        <v>85</v>
      </c>
      <c r="H2" t="s">
        <v>824</v>
      </c>
      <c r="I2" s="2">
        <v>46023</v>
      </c>
      <c r="J2">
        <v>50</v>
      </c>
      <c r="K2" t="s">
        <v>89</v>
      </c>
    </row>
    <row r="3" spans="1:11" x14ac:dyDescent="0.25">
      <c r="A3" t="s">
        <v>859</v>
      </c>
      <c r="B3" t="s">
        <v>792</v>
      </c>
      <c r="C3" s="2">
        <v>46023</v>
      </c>
      <c r="D3" t="s">
        <v>174</v>
      </c>
      <c r="E3">
        <v>93</v>
      </c>
      <c r="F3" t="s">
        <v>29</v>
      </c>
      <c r="G3" t="s">
        <v>85</v>
      </c>
      <c r="H3" t="s">
        <v>825</v>
      </c>
      <c r="I3" s="2">
        <v>46023</v>
      </c>
      <c r="J3">
        <v>78</v>
      </c>
      <c r="K3" t="s">
        <v>89</v>
      </c>
    </row>
    <row r="4" spans="1:11" x14ac:dyDescent="0.25">
      <c r="A4" t="s">
        <v>860</v>
      </c>
      <c r="B4" t="s">
        <v>793</v>
      </c>
      <c r="C4" s="2">
        <v>46023</v>
      </c>
      <c r="D4" t="s">
        <v>264</v>
      </c>
      <c r="E4">
        <v>127</v>
      </c>
      <c r="F4" t="s">
        <v>29</v>
      </c>
      <c r="G4" t="s">
        <v>85</v>
      </c>
      <c r="H4" t="s">
        <v>826</v>
      </c>
      <c r="I4" s="2">
        <v>46023</v>
      </c>
      <c r="J4">
        <v>112</v>
      </c>
      <c r="K4" t="s">
        <v>89</v>
      </c>
    </row>
    <row r="5" spans="1:11" x14ac:dyDescent="0.25">
      <c r="A5" t="s">
        <v>858</v>
      </c>
      <c r="B5" t="s">
        <v>794</v>
      </c>
      <c r="C5" s="2">
        <v>46023</v>
      </c>
      <c r="D5" t="s">
        <v>128</v>
      </c>
      <c r="E5">
        <v>63</v>
      </c>
      <c r="F5" t="s">
        <v>29</v>
      </c>
      <c r="G5" t="s">
        <v>85</v>
      </c>
      <c r="H5" t="s">
        <v>827</v>
      </c>
      <c r="I5" s="2">
        <v>46023</v>
      </c>
      <c r="J5">
        <v>49</v>
      </c>
      <c r="K5" t="s">
        <v>89</v>
      </c>
    </row>
    <row r="6" spans="1:11" x14ac:dyDescent="0.25">
      <c r="A6" t="s">
        <v>51</v>
      </c>
      <c r="B6" t="s">
        <v>795</v>
      </c>
      <c r="C6" s="2">
        <v>46023</v>
      </c>
      <c r="D6" t="s">
        <v>758</v>
      </c>
      <c r="E6">
        <v>14</v>
      </c>
      <c r="F6" t="s">
        <v>29</v>
      </c>
      <c r="G6" t="s">
        <v>85</v>
      </c>
      <c r="H6" t="s">
        <v>828</v>
      </c>
      <c r="I6" s="2">
        <v>46024</v>
      </c>
      <c r="J6">
        <v>9</v>
      </c>
      <c r="K6" t="s">
        <v>89</v>
      </c>
    </row>
    <row r="7" spans="1:11" x14ac:dyDescent="0.25">
      <c r="A7" t="s">
        <v>51</v>
      </c>
      <c r="B7" t="s">
        <v>796</v>
      </c>
      <c r="C7" s="2">
        <v>46023</v>
      </c>
      <c r="D7" t="s">
        <v>257</v>
      </c>
      <c r="E7">
        <v>6</v>
      </c>
      <c r="F7" t="s">
        <v>29</v>
      </c>
      <c r="G7" t="s">
        <v>85</v>
      </c>
      <c r="H7" t="s">
        <v>829</v>
      </c>
      <c r="I7" s="2">
        <v>46024</v>
      </c>
      <c r="J7">
        <v>1</v>
      </c>
      <c r="K7" t="s">
        <v>89</v>
      </c>
    </row>
    <row r="8" spans="1:11" x14ac:dyDescent="0.25">
      <c r="A8" t="s">
        <v>858</v>
      </c>
      <c r="B8" t="s">
        <v>797</v>
      </c>
      <c r="C8" s="2">
        <v>46023</v>
      </c>
      <c r="D8" t="s">
        <v>48</v>
      </c>
      <c r="E8">
        <v>103</v>
      </c>
      <c r="F8" t="s">
        <v>29</v>
      </c>
      <c r="G8" t="s">
        <v>85</v>
      </c>
      <c r="H8" t="s">
        <v>830</v>
      </c>
      <c r="I8" s="2">
        <v>46023</v>
      </c>
      <c r="J8">
        <v>127</v>
      </c>
      <c r="K8" t="s">
        <v>89</v>
      </c>
    </row>
    <row r="9" spans="1:11" x14ac:dyDescent="0.25">
      <c r="A9" t="s">
        <v>858</v>
      </c>
      <c r="B9" t="s">
        <v>798</v>
      </c>
      <c r="C9" s="2">
        <v>46023</v>
      </c>
      <c r="D9" t="s">
        <v>164</v>
      </c>
      <c r="E9">
        <v>37</v>
      </c>
      <c r="F9" t="s">
        <v>29</v>
      </c>
      <c r="G9" t="s">
        <v>85</v>
      </c>
      <c r="H9" t="s">
        <v>831</v>
      </c>
      <c r="I9" s="2">
        <v>46023</v>
      </c>
      <c r="J9">
        <v>53</v>
      </c>
      <c r="K9" t="s">
        <v>89</v>
      </c>
    </row>
    <row r="10" spans="1:11" x14ac:dyDescent="0.25">
      <c r="A10" t="s">
        <v>861</v>
      </c>
      <c r="B10" t="s">
        <v>799</v>
      </c>
      <c r="C10" s="2">
        <v>46024</v>
      </c>
      <c r="D10" t="s">
        <v>205</v>
      </c>
      <c r="E10">
        <v>149</v>
      </c>
      <c r="F10" t="s">
        <v>29</v>
      </c>
      <c r="G10" t="s">
        <v>85</v>
      </c>
      <c r="H10" t="s">
        <v>832</v>
      </c>
      <c r="I10" s="2">
        <v>46024</v>
      </c>
      <c r="J10">
        <v>153</v>
      </c>
      <c r="K10" t="s">
        <v>89</v>
      </c>
    </row>
    <row r="11" spans="1:11" x14ac:dyDescent="0.25">
      <c r="A11" t="s">
        <v>858</v>
      </c>
      <c r="B11" t="s">
        <v>794</v>
      </c>
      <c r="C11" s="2">
        <v>46024</v>
      </c>
      <c r="D11" t="s">
        <v>481</v>
      </c>
      <c r="E11">
        <v>69</v>
      </c>
      <c r="F11" t="s">
        <v>29</v>
      </c>
      <c r="G11" t="s">
        <v>85</v>
      </c>
      <c r="H11" t="s">
        <v>827</v>
      </c>
      <c r="I11" s="2">
        <v>46024</v>
      </c>
      <c r="J11">
        <v>71</v>
      </c>
      <c r="K11" t="s">
        <v>89</v>
      </c>
    </row>
    <row r="12" spans="1:11" x14ac:dyDescent="0.25">
      <c r="A12" t="s">
        <v>858</v>
      </c>
      <c r="B12" t="s">
        <v>800</v>
      </c>
      <c r="C12" s="2">
        <v>46024</v>
      </c>
      <c r="D12" t="s">
        <v>65</v>
      </c>
      <c r="E12">
        <v>151</v>
      </c>
      <c r="F12" t="s">
        <v>29</v>
      </c>
      <c r="G12" t="s">
        <v>85</v>
      </c>
      <c r="H12" t="s">
        <v>824</v>
      </c>
      <c r="I12" s="2">
        <v>46024</v>
      </c>
      <c r="J12">
        <v>87</v>
      </c>
      <c r="K12" t="s">
        <v>89</v>
      </c>
    </row>
    <row r="13" spans="1:11" x14ac:dyDescent="0.25">
      <c r="A13" t="s">
        <v>858</v>
      </c>
      <c r="B13" t="s">
        <v>798</v>
      </c>
      <c r="C13" s="2">
        <v>46024</v>
      </c>
      <c r="D13" t="s">
        <v>142</v>
      </c>
      <c r="E13">
        <v>67</v>
      </c>
      <c r="F13" t="s">
        <v>29</v>
      </c>
      <c r="G13" t="s">
        <v>85</v>
      </c>
      <c r="H13" t="s">
        <v>831</v>
      </c>
      <c r="I13" s="2">
        <v>46024</v>
      </c>
      <c r="J13">
        <v>53</v>
      </c>
      <c r="K13" t="s">
        <v>89</v>
      </c>
    </row>
    <row r="14" spans="1:11" x14ac:dyDescent="0.25">
      <c r="A14" t="s">
        <v>859</v>
      </c>
      <c r="B14" t="s">
        <v>792</v>
      </c>
      <c r="C14" s="2">
        <v>46025</v>
      </c>
      <c r="D14" t="s">
        <v>174</v>
      </c>
      <c r="E14">
        <v>126</v>
      </c>
      <c r="F14" t="s">
        <v>29</v>
      </c>
      <c r="G14" t="s">
        <v>85</v>
      </c>
      <c r="H14" t="s">
        <v>825</v>
      </c>
      <c r="I14" s="2">
        <v>46025</v>
      </c>
      <c r="J14">
        <v>79</v>
      </c>
      <c r="K14" t="s">
        <v>89</v>
      </c>
    </row>
    <row r="15" spans="1:11" x14ac:dyDescent="0.25">
      <c r="A15" t="s">
        <v>860</v>
      </c>
      <c r="B15" t="s">
        <v>793</v>
      </c>
      <c r="C15" s="2">
        <v>46025</v>
      </c>
      <c r="D15" t="s">
        <v>264</v>
      </c>
      <c r="E15">
        <v>140</v>
      </c>
      <c r="F15" t="s">
        <v>29</v>
      </c>
      <c r="G15" t="s">
        <v>85</v>
      </c>
      <c r="H15" t="s">
        <v>826</v>
      </c>
      <c r="I15" s="2">
        <v>46025</v>
      </c>
      <c r="J15">
        <v>140</v>
      </c>
      <c r="K15" t="s">
        <v>89</v>
      </c>
    </row>
    <row r="16" spans="1:11" x14ac:dyDescent="0.25">
      <c r="A16" t="s">
        <v>858</v>
      </c>
      <c r="B16" t="s">
        <v>794</v>
      </c>
      <c r="C16" s="2">
        <v>46025</v>
      </c>
      <c r="D16" t="s">
        <v>317</v>
      </c>
      <c r="E16">
        <v>158</v>
      </c>
      <c r="F16" t="s">
        <v>29</v>
      </c>
      <c r="G16" t="s">
        <v>85</v>
      </c>
      <c r="H16" t="s">
        <v>827</v>
      </c>
      <c r="I16" s="2">
        <v>46025</v>
      </c>
      <c r="J16">
        <v>86</v>
      </c>
      <c r="K16" t="s">
        <v>89</v>
      </c>
    </row>
    <row r="17" spans="1:11" x14ac:dyDescent="0.25">
      <c r="A17" t="s">
        <v>858</v>
      </c>
      <c r="B17" t="s">
        <v>797</v>
      </c>
      <c r="C17" s="2">
        <v>46025</v>
      </c>
      <c r="D17" t="s">
        <v>312</v>
      </c>
      <c r="E17">
        <v>70</v>
      </c>
      <c r="F17" t="s">
        <v>29</v>
      </c>
      <c r="G17" t="s">
        <v>85</v>
      </c>
      <c r="H17" t="s">
        <v>824</v>
      </c>
      <c r="I17" s="2">
        <v>46025</v>
      </c>
      <c r="J17">
        <v>67</v>
      </c>
      <c r="K17" t="s">
        <v>89</v>
      </c>
    </row>
    <row r="18" spans="1:11" x14ac:dyDescent="0.25">
      <c r="A18" t="s">
        <v>858</v>
      </c>
      <c r="B18" t="s">
        <v>794</v>
      </c>
      <c r="C18" s="2">
        <v>46026</v>
      </c>
      <c r="D18" t="s">
        <v>317</v>
      </c>
      <c r="E18">
        <v>151</v>
      </c>
      <c r="F18" t="s">
        <v>29</v>
      </c>
      <c r="G18" t="s">
        <v>85</v>
      </c>
      <c r="H18" t="s">
        <v>827</v>
      </c>
      <c r="I18" s="2">
        <v>46026</v>
      </c>
      <c r="J18">
        <v>127</v>
      </c>
      <c r="K18" t="s">
        <v>89</v>
      </c>
    </row>
    <row r="19" spans="1:11" x14ac:dyDescent="0.25">
      <c r="A19" t="s">
        <v>861</v>
      </c>
      <c r="B19" t="s">
        <v>799</v>
      </c>
      <c r="C19" s="2">
        <v>46026</v>
      </c>
      <c r="D19" t="s">
        <v>205</v>
      </c>
      <c r="E19">
        <v>167</v>
      </c>
      <c r="F19" t="s">
        <v>29</v>
      </c>
      <c r="G19" t="s">
        <v>85</v>
      </c>
      <c r="H19" t="s">
        <v>832</v>
      </c>
      <c r="I19" s="2">
        <v>46026</v>
      </c>
      <c r="J19">
        <v>143</v>
      </c>
      <c r="K19" t="s">
        <v>89</v>
      </c>
    </row>
    <row r="20" spans="1:11" x14ac:dyDescent="0.25">
      <c r="A20" t="s">
        <v>858</v>
      </c>
      <c r="B20" t="s">
        <v>797</v>
      </c>
      <c r="C20" s="2">
        <v>46026</v>
      </c>
      <c r="D20" t="s">
        <v>312</v>
      </c>
      <c r="E20">
        <v>59</v>
      </c>
      <c r="F20" t="s">
        <v>29</v>
      </c>
      <c r="G20" t="s">
        <v>85</v>
      </c>
      <c r="H20" t="s">
        <v>824</v>
      </c>
      <c r="I20" s="2">
        <v>46026</v>
      </c>
      <c r="J20">
        <v>47</v>
      </c>
      <c r="K20" t="s">
        <v>89</v>
      </c>
    </row>
    <row r="21" spans="1:11" x14ac:dyDescent="0.25">
      <c r="A21" t="s">
        <v>859</v>
      </c>
      <c r="B21" t="s">
        <v>801</v>
      </c>
      <c r="C21" s="2">
        <v>46026</v>
      </c>
      <c r="D21" t="s">
        <v>106</v>
      </c>
      <c r="E21">
        <v>91</v>
      </c>
      <c r="F21" t="s">
        <v>29</v>
      </c>
      <c r="G21" t="s">
        <v>85</v>
      </c>
      <c r="H21" t="s">
        <v>833</v>
      </c>
      <c r="I21" s="2">
        <v>46026</v>
      </c>
      <c r="J21">
        <v>102</v>
      </c>
      <c r="K21" t="s">
        <v>89</v>
      </c>
    </row>
    <row r="22" spans="1:11" x14ac:dyDescent="0.25">
      <c r="A22" t="s">
        <v>858</v>
      </c>
      <c r="B22" t="s">
        <v>791</v>
      </c>
      <c r="C22" s="2">
        <v>46027</v>
      </c>
      <c r="D22" t="s">
        <v>250</v>
      </c>
      <c r="E22">
        <v>68</v>
      </c>
      <c r="F22" t="s">
        <v>29</v>
      </c>
      <c r="G22" t="s">
        <v>85</v>
      </c>
      <c r="H22" t="s">
        <v>824</v>
      </c>
      <c r="I22" s="2">
        <v>46027</v>
      </c>
      <c r="J22">
        <v>39</v>
      </c>
      <c r="K22" t="s">
        <v>89</v>
      </c>
    </row>
    <row r="23" spans="1:11" x14ac:dyDescent="0.25">
      <c r="A23" t="s">
        <v>858</v>
      </c>
      <c r="B23" t="s">
        <v>794</v>
      </c>
      <c r="C23" s="2">
        <v>46027</v>
      </c>
      <c r="D23" t="s">
        <v>128</v>
      </c>
      <c r="E23">
        <v>73</v>
      </c>
      <c r="F23" t="s">
        <v>29</v>
      </c>
      <c r="G23" t="s">
        <v>85</v>
      </c>
      <c r="H23" t="s">
        <v>827</v>
      </c>
      <c r="I23" s="2">
        <v>46027</v>
      </c>
      <c r="J23">
        <v>71</v>
      </c>
      <c r="K23" t="s">
        <v>89</v>
      </c>
    </row>
    <row r="24" spans="1:11" x14ac:dyDescent="0.25">
      <c r="A24" t="s">
        <v>861</v>
      </c>
      <c r="B24" t="s">
        <v>799</v>
      </c>
      <c r="C24" s="2">
        <v>46027</v>
      </c>
      <c r="D24" t="s">
        <v>205</v>
      </c>
      <c r="E24">
        <v>174</v>
      </c>
      <c r="F24" t="s">
        <v>29</v>
      </c>
      <c r="G24" t="s">
        <v>85</v>
      </c>
      <c r="H24" t="s">
        <v>832</v>
      </c>
      <c r="I24" s="2">
        <v>46027</v>
      </c>
      <c r="J24">
        <v>150</v>
      </c>
      <c r="K24" t="s">
        <v>89</v>
      </c>
    </row>
    <row r="25" spans="1:11" x14ac:dyDescent="0.25">
      <c r="A25" t="s">
        <v>858</v>
      </c>
      <c r="B25" t="s">
        <v>797</v>
      </c>
      <c r="C25" s="2">
        <v>46027</v>
      </c>
      <c r="D25" t="s">
        <v>48</v>
      </c>
      <c r="E25">
        <v>98</v>
      </c>
      <c r="F25" t="s">
        <v>29</v>
      </c>
      <c r="G25" t="s">
        <v>85</v>
      </c>
      <c r="H25" t="s">
        <v>830</v>
      </c>
      <c r="I25" s="2">
        <v>46027</v>
      </c>
      <c r="J25">
        <v>127</v>
      </c>
      <c r="K25" t="s">
        <v>89</v>
      </c>
    </row>
    <row r="26" spans="1:11" x14ac:dyDescent="0.25">
      <c r="A26" t="s">
        <v>859</v>
      </c>
      <c r="B26" t="s">
        <v>792</v>
      </c>
      <c r="C26" s="2">
        <v>46028</v>
      </c>
      <c r="D26" t="s">
        <v>174</v>
      </c>
      <c r="E26">
        <v>148</v>
      </c>
      <c r="F26" t="s">
        <v>29</v>
      </c>
      <c r="G26" t="s">
        <v>85</v>
      </c>
      <c r="H26" t="s">
        <v>825</v>
      </c>
      <c r="I26" s="2">
        <v>46028</v>
      </c>
      <c r="J26">
        <v>126</v>
      </c>
      <c r="K26" t="s">
        <v>89</v>
      </c>
    </row>
    <row r="27" spans="1:11" x14ac:dyDescent="0.25">
      <c r="A27" t="s">
        <v>860</v>
      </c>
      <c r="B27" t="s">
        <v>793</v>
      </c>
      <c r="C27" s="2">
        <v>46028</v>
      </c>
      <c r="D27" t="s">
        <v>264</v>
      </c>
      <c r="E27">
        <v>149</v>
      </c>
      <c r="F27" t="s">
        <v>29</v>
      </c>
      <c r="G27" t="s">
        <v>85</v>
      </c>
      <c r="H27" t="s">
        <v>826</v>
      </c>
      <c r="I27" s="2">
        <v>46028</v>
      </c>
      <c r="J27">
        <v>153</v>
      </c>
      <c r="K27" t="s">
        <v>89</v>
      </c>
    </row>
    <row r="28" spans="1:11" x14ac:dyDescent="0.25">
      <c r="A28" t="s">
        <v>858</v>
      </c>
      <c r="B28" t="s">
        <v>794</v>
      </c>
      <c r="C28" s="2">
        <v>46028</v>
      </c>
      <c r="D28" t="s">
        <v>128</v>
      </c>
      <c r="E28">
        <v>69</v>
      </c>
      <c r="F28" t="s">
        <v>29</v>
      </c>
      <c r="G28" t="s">
        <v>85</v>
      </c>
      <c r="H28" t="s">
        <v>827</v>
      </c>
      <c r="I28" s="2">
        <v>46028</v>
      </c>
      <c r="J28">
        <v>51</v>
      </c>
      <c r="K28" t="s">
        <v>89</v>
      </c>
    </row>
    <row r="29" spans="1:11" x14ac:dyDescent="0.25">
      <c r="A29" t="s">
        <v>858</v>
      </c>
      <c r="B29" t="s">
        <v>800</v>
      </c>
      <c r="C29" s="2">
        <v>46028</v>
      </c>
      <c r="D29" t="s">
        <v>65</v>
      </c>
      <c r="E29">
        <v>155</v>
      </c>
      <c r="F29" t="s">
        <v>29</v>
      </c>
      <c r="G29" t="s">
        <v>85</v>
      </c>
      <c r="H29" t="s">
        <v>824</v>
      </c>
      <c r="I29" s="2">
        <v>46028</v>
      </c>
      <c r="J29">
        <v>62</v>
      </c>
      <c r="K29" t="s">
        <v>89</v>
      </c>
    </row>
    <row r="30" spans="1:11" x14ac:dyDescent="0.25">
      <c r="A30" t="s">
        <v>858</v>
      </c>
      <c r="B30" t="s">
        <v>798</v>
      </c>
      <c r="C30" s="2">
        <v>46028</v>
      </c>
      <c r="D30" t="s">
        <v>164</v>
      </c>
      <c r="E30">
        <v>56</v>
      </c>
      <c r="F30" t="s">
        <v>29</v>
      </c>
      <c r="G30" t="s">
        <v>85</v>
      </c>
      <c r="H30" t="s">
        <v>831</v>
      </c>
      <c r="I30" s="2">
        <v>46028</v>
      </c>
      <c r="J30">
        <v>38</v>
      </c>
      <c r="K30" t="s">
        <v>89</v>
      </c>
    </row>
    <row r="31" spans="1:11" x14ac:dyDescent="0.25">
      <c r="A31" t="s">
        <v>861</v>
      </c>
      <c r="B31" t="s">
        <v>799</v>
      </c>
      <c r="C31" s="2">
        <v>46029</v>
      </c>
      <c r="D31" t="s">
        <v>205</v>
      </c>
      <c r="E31">
        <v>159</v>
      </c>
      <c r="F31" t="s">
        <v>29</v>
      </c>
      <c r="G31" t="s">
        <v>85</v>
      </c>
      <c r="H31" t="s">
        <v>832</v>
      </c>
      <c r="I31" s="2">
        <v>46029</v>
      </c>
      <c r="J31">
        <v>122</v>
      </c>
      <c r="K31" t="s">
        <v>89</v>
      </c>
    </row>
    <row r="32" spans="1:11" x14ac:dyDescent="0.25">
      <c r="A32" t="s">
        <v>858</v>
      </c>
      <c r="B32" t="s">
        <v>797</v>
      </c>
      <c r="C32" s="2">
        <v>46029</v>
      </c>
      <c r="D32" t="s">
        <v>142</v>
      </c>
      <c r="E32">
        <v>50</v>
      </c>
      <c r="F32" t="s">
        <v>29</v>
      </c>
      <c r="G32" t="s">
        <v>85</v>
      </c>
      <c r="H32" t="s">
        <v>824</v>
      </c>
      <c r="I32" s="2">
        <v>46029</v>
      </c>
      <c r="J32">
        <v>58</v>
      </c>
      <c r="K32" t="s">
        <v>89</v>
      </c>
    </row>
    <row r="33" spans="1:11" x14ac:dyDescent="0.25">
      <c r="A33" t="s">
        <v>858</v>
      </c>
      <c r="B33" t="s">
        <v>794</v>
      </c>
      <c r="C33" s="2">
        <v>46029</v>
      </c>
      <c r="D33" t="s">
        <v>317</v>
      </c>
      <c r="E33">
        <v>125</v>
      </c>
      <c r="F33" t="s">
        <v>29</v>
      </c>
      <c r="G33" t="s">
        <v>85</v>
      </c>
      <c r="H33" t="s">
        <v>827</v>
      </c>
      <c r="I33" s="2">
        <v>46029</v>
      </c>
      <c r="J33">
        <v>73</v>
      </c>
      <c r="K33" t="s">
        <v>89</v>
      </c>
    </row>
    <row r="34" spans="1:11" x14ac:dyDescent="0.25">
      <c r="A34" t="s">
        <v>55</v>
      </c>
      <c r="B34" t="s">
        <v>802</v>
      </c>
      <c r="C34" s="2">
        <v>46029</v>
      </c>
      <c r="D34" t="s">
        <v>95</v>
      </c>
      <c r="E34">
        <v>0</v>
      </c>
      <c r="F34" t="s">
        <v>29</v>
      </c>
      <c r="G34" t="s">
        <v>35</v>
      </c>
      <c r="H34" t="s">
        <v>834</v>
      </c>
      <c r="I34" s="2">
        <v>46029</v>
      </c>
      <c r="J34">
        <v>1</v>
      </c>
      <c r="K34" t="s">
        <v>35</v>
      </c>
    </row>
    <row r="35" spans="1:11" x14ac:dyDescent="0.25">
      <c r="A35" t="s">
        <v>55</v>
      </c>
      <c r="B35" t="s">
        <v>803</v>
      </c>
      <c r="C35" s="2">
        <v>46029</v>
      </c>
      <c r="D35" t="s">
        <v>58</v>
      </c>
      <c r="E35">
        <v>0</v>
      </c>
      <c r="F35" t="s">
        <v>29</v>
      </c>
      <c r="G35" t="s">
        <v>35</v>
      </c>
      <c r="H35" t="s">
        <v>835</v>
      </c>
      <c r="I35" s="2">
        <v>46029</v>
      </c>
      <c r="J35">
        <v>1</v>
      </c>
      <c r="K35" t="s">
        <v>35</v>
      </c>
    </row>
    <row r="36" spans="1:11" x14ac:dyDescent="0.25">
      <c r="A36" t="s">
        <v>858</v>
      </c>
      <c r="B36" t="s">
        <v>794</v>
      </c>
      <c r="C36" s="2">
        <v>46030</v>
      </c>
      <c r="D36" t="s">
        <v>128</v>
      </c>
      <c r="E36">
        <v>69</v>
      </c>
      <c r="F36" t="s">
        <v>29</v>
      </c>
      <c r="G36" t="s">
        <v>85</v>
      </c>
      <c r="H36" t="s">
        <v>827</v>
      </c>
      <c r="I36" s="2">
        <v>46030</v>
      </c>
      <c r="J36">
        <v>67</v>
      </c>
      <c r="K36" t="s">
        <v>89</v>
      </c>
    </row>
    <row r="37" spans="1:11" x14ac:dyDescent="0.25">
      <c r="A37" t="s">
        <v>860</v>
      </c>
      <c r="B37" t="s">
        <v>793</v>
      </c>
      <c r="C37" s="2">
        <v>46030</v>
      </c>
      <c r="D37" t="s">
        <v>264</v>
      </c>
      <c r="E37">
        <v>147</v>
      </c>
      <c r="F37" t="s">
        <v>29</v>
      </c>
      <c r="G37" t="s">
        <v>85</v>
      </c>
      <c r="H37" t="s">
        <v>826</v>
      </c>
      <c r="I37" s="2">
        <v>46030</v>
      </c>
      <c r="J37">
        <v>169</v>
      </c>
      <c r="K37" t="s">
        <v>89</v>
      </c>
    </row>
    <row r="38" spans="1:11" x14ac:dyDescent="0.25">
      <c r="A38" t="s">
        <v>51</v>
      </c>
      <c r="B38" t="s">
        <v>804</v>
      </c>
      <c r="C38" s="2">
        <v>46030</v>
      </c>
      <c r="D38" t="s">
        <v>548</v>
      </c>
      <c r="E38">
        <v>1</v>
      </c>
      <c r="F38" t="s">
        <v>29</v>
      </c>
      <c r="G38" t="s">
        <v>85</v>
      </c>
      <c r="H38" t="s">
        <v>836</v>
      </c>
      <c r="I38" s="2">
        <v>46030</v>
      </c>
      <c r="J38">
        <v>4</v>
      </c>
      <c r="K38" t="s">
        <v>89</v>
      </c>
    </row>
    <row r="39" spans="1:11" x14ac:dyDescent="0.25">
      <c r="A39" t="s">
        <v>858</v>
      </c>
      <c r="B39" t="s">
        <v>797</v>
      </c>
      <c r="C39" s="2">
        <v>46030</v>
      </c>
      <c r="D39" t="s">
        <v>50</v>
      </c>
      <c r="E39">
        <v>119</v>
      </c>
      <c r="F39" t="s">
        <v>29</v>
      </c>
      <c r="G39" t="s">
        <v>85</v>
      </c>
      <c r="H39" t="s">
        <v>830</v>
      </c>
      <c r="I39" s="2">
        <v>46030</v>
      </c>
      <c r="J39">
        <v>135</v>
      </c>
      <c r="K39" t="s">
        <v>89</v>
      </c>
    </row>
    <row r="40" spans="1:11" x14ac:dyDescent="0.25">
      <c r="A40" t="s">
        <v>858</v>
      </c>
      <c r="B40" t="s">
        <v>791</v>
      </c>
      <c r="C40" s="2">
        <v>46030</v>
      </c>
      <c r="D40" t="s">
        <v>250</v>
      </c>
      <c r="E40">
        <v>50</v>
      </c>
      <c r="F40" t="s">
        <v>29</v>
      </c>
      <c r="G40" t="s">
        <v>85</v>
      </c>
      <c r="H40" t="s">
        <v>824</v>
      </c>
      <c r="I40" s="2">
        <v>46030</v>
      </c>
      <c r="J40">
        <v>51</v>
      </c>
      <c r="K40" t="s">
        <v>89</v>
      </c>
    </row>
    <row r="41" spans="1:11" x14ac:dyDescent="0.25">
      <c r="A41" t="s">
        <v>858</v>
      </c>
      <c r="B41" t="s">
        <v>800</v>
      </c>
      <c r="C41" s="2">
        <v>46031</v>
      </c>
      <c r="D41" t="s">
        <v>65</v>
      </c>
      <c r="E41">
        <v>152</v>
      </c>
      <c r="F41" t="s">
        <v>29</v>
      </c>
      <c r="G41" t="s">
        <v>85</v>
      </c>
      <c r="H41" t="s">
        <v>824</v>
      </c>
      <c r="I41" s="2">
        <v>46031</v>
      </c>
      <c r="J41">
        <v>75</v>
      </c>
      <c r="K41" t="s">
        <v>89</v>
      </c>
    </row>
    <row r="42" spans="1:11" x14ac:dyDescent="0.25">
      <c r="A42" t="s">
        <v>700</v>
      </c>
      <c r="B42" t="s">
        <v>805</v>
      </c>
      <c r="C42" s="2">
        <v>46031</v>
      </c>
      <c r="D42" t="s">
        <v>264</v>
      </c>
      <c r="E42">
        <v>0</v>
      </c>
      <c r="F42" t="s">
        <v>29</v>
      </c>
      <c r="G42" t="s">
        <v>53</v>
      </c>
      <c r="H42" t="s">
        <v>837</v>
      </c>
      <c r="I42" s="2">
        <v>46031</v>
      </c>
      <c r="J42">
        <v>1</v>
      </c>
      <c r="K42" t="s">
        <v>53</v>
      </c>
    </row>
    <row r="43" spans="1:11" x14ac:dyDescent="0.25">
      <c r="A43" t="s">
        <v>861</v>
      </c>
      <c r="B43" t="s">
        <v>799</v>
      </c>
      <c r="C43" s="2">
        <v>46031</v>
      </c>
      <c r="D43" t="s">
        <v>205</v>
      </c>
      <c r="E43">
        <v>158</v>
      </c>
      <c r="F43" t="s">
        <v>133</v>
      </c>
      <c r="G43" t="s">
        <v>85</v>
      </c>
      <c r="H43" t="s">
        <v>832</v>
      </c>
      <c r="I43" s="2">
        <v>46031</v>
      </c>
      <c r="J43">
        <v>141</v>
      </c>
      <c r="K43" t="s">
        <v>89</v>
      </c>
    </row>
    <row r="44" spans="1:11" x14ac:dyDescent="0.25">
      <c r="A44" t="s">
        <v>858</v>
      </c>
      <c r="B44" t="s">
        <v>794</v>
      </c>
      <c r="C44" s="2">
        <v>46031</v>
      </c>
      <c r="D44" t="s">
        <v>128</v>
      </c>
      <c r="E44">
        <v>73</v>
      </c>
      <c r="F44" t="s">
        <v>29</v>
      </c>
      <c r="G44" t="s">
        <v>85</v>
      </c>
      <c r="H44" t="s">
        <v>827</v>
      </c>
      <c r="I44" s="2">
        <v>46031</v>
      </c>
      <c r="J44">
        <v>65</v>
      </c>
      <c r="K44" t="s">
        <v>89</v>
      </c>
    </row>
    <row r="45" spans="1:11" x14ac:dyDescent="0.25">
      <c r="A45" t="s">
        <v>859</v>
      </c>
      <c r="B45" t="s">
        <v>792</v>
      </c>
      <c r="C45" s="2">
        <v>46032</v>
      </c>
      <c r="D45" t="s">
        <v>174</v>
      </c>
      <c r="E45">
        <v>176</v>
      </c>
      <c r="F45" t="s">
        <v>29</v>
      </c>
      <c r="G45" t="s">
        <v>85</v>
      </c>
      <c r="H45" t="s">
        <v>825</v>
      </c>
      <c r="I45" s="2">
        <v>46032</v>
      </c>
      <c r="J45">
        <v>130</v>
      </c>
      <c r="K45" t="s">
        <v>89</v>
      </c>
    </row>
    <row r="46" spans="1:11" x14ac:dyDescent="0.25">
      <c r="A46" t="s">
        <v>860</v>
      </c>
      <c r="B46" t="s">
        <v>793</v>
      </c>
      <c r="C46" s="2">
        <v>46032</v>
      </c>
      <c r="D46" t="s">
        <v>264</v>
      </c>
      <c r="E46">
        <v>146</v>
      </c>
      <c r="F46" t="s">
        <v>29</v>
      </c>
      <c r="G46" t="s">
        <v>85</v>
      </c>
      <c r="H46" t="s">
        <v>826</v>
      </c>
      <c r="I46" s="2">
        <v>46032</v>
      </c>
      <c r="J46">
        <v>157</v>
      </c>
      <c r="K46" t="s">
        <v>89</v>
      </c>
    </row>
    <row r="47" spans="1:11" x14ac:dyDescent="0.25">
      <c r="A47" t="s">
        <v>51</v>
      </c>
      <c r="B47" t="s">
        <v>806</v>
      </c>
      <c r="C47" s="2">
        <v>46032</v>
      </c>
      <c r="D47" t="s">
        <v>357</v>
      </c>
      <c r="E47">
        <v>8</v>
      </c>
      <c r="F47" t="s">
        <v>29</v>
      </c>
      <c r="G47" t="s">
        <v>85</v>
      </c>
      <c r="H47" t="s">
        <v>838</v>
      </c>
      <c r="I47" s="2">
        <v>46033</v>
      </c>
      <c r="J47">
        <v>1</v>
      </c>
      <c r="K47" t="s">
        <v>89</v>
      </c>
    </row>
    <row r="48" spans="1:11" x14ac:dyDescent="0.25">
      <c r="A48" t="s">
        <v>858</v>
      </c>
      <c r="B48" t="s">
        <v>797</v>
      </c>
      <c r="C48" s="2">
        <v>46032</v>
      </c>
      <c r="D48" t="s">
        <v>142</v>
      </c>
      <c r="E48">
        <v>51</v>
      </c>
      <c r="F48" t="s">
        <v>29</v>
      </c>
      <c r="G48" t="s">
        <v>85</v>
      </c>
      <c r="H48" t="s">
        <v>824</v>
      </c>
      <c r="I48" s="2">
        <v>46032</v>
      </c>
      <c r="J48">
        <v>49</v>
      </c>
      <c r="K48" t="s">
        <v>89</v>
      </c>
    </row>
    <row r="49" spans="1:11" x14ac:dyDescent="0.25">
      <c r="A49" t="s">
        <v>858</v>
      </c>
      <c r="B49" t="s">
        <v>794</v>
      </c>
      <c r="C49" s="2">
        <v>46032</v>
      </c>
      <c r="D49" t="s">
        <v>317</v>
      </c>
      <c r="E49">
        <v>132</v>
      </c>
      <c r="F49" t="s">
        <v>29</v>
      </c>
      <c r="G49" t="s">
        <v>85</v>
      </c>
      <c r="H49" t="s">
        <v>827</v>
      </c>
      <c r="I49" s="2">
        <v>46032</v>
      </c>
      <c r="J49">
        <v>86</v>
      </c>
      <c r="K49" t="s">
        <v>89</v>
      </c>
    </row>
    <row r="50" spans="1:11" x14ac:dyDescent="0.25">
      <c r="A50" t="s">
        <v>861</v>
      </c>
      <c r="B50" t="s">
        <v>799</v>
      </c>
      <c r="C50" s="2">
        <v>46033</v>
      </c>
      <c r="D50" t="s">
        <v>205</v>
      </c>
      <c r="E50">
        <v>175</v>
      </c>
      <c r="F50" t="s">
        <v>29</v>
      </c>
      <c r="G50" t="s">
        <v>85</v>
      </c>
      <c r="H50" t="s">
        <v>832</v>
      </c>
      <c r="I50" s="2">
        <v>46033</v>
      </c>
      <c r="J50">
        <v>175</v>
      </c>
      <c r="K50" t="s">
        <v>89</v>
      </c>
    </row>
    <row r="51" spans="1:11" x14ac:dyDescent="0.25">
      <c r="A51" t="s">
        <v>858</v>
      </c>
      <c r="B51" t="s">
        <v>797</v>
      </c>
      <c r="C51" s="2">
        <v>46033</v>
      </c>
      <c r="D51" t="s">
        <v>312</v>
      </c>
      <c r="E51">
        <v>0</v>
      </c>
      <c r="F51" t="s">
        <v>29</v>
      </c>
      <c r="G51" t="s">
        <v>53</v>
      </c>
      <c r="H51" t="s">
        <v>824</v>
      </c>
      <c r="I51" s="2">
        <v>46033</v>
      </c>
      <c r="J51">
        <v>1</v>
      </c>
      <c r="K51" t="s">
        <v>53</v>
      </c>
    </row>
    <row r="52" spans="1:11" x14ac:dyDescent="0.25">
      <c r="A52" t="s">
        <v>859</v>
      </c>
      <c r="B52" t="s">
        <v>801</v>
      </c>
      <c r="C52" s="2">
        <v>46033</v>
      </c>
      <c r="D52" t="s">
        <v>106</v>
      </c>
      <c r="E52">
        <v>97</v>
      </c>
      <c r="F52" t="s">
        <v>29</v>
      </c>
      <c r="G52" t="s">
        <v>85</v>
      </c>
      <c r="H52" t="s">
        <v>833</v>
      </c>
      <c r="I52" s="2">
        <v>46033</v>
      </c>
      <c r="J52">
        <v>107</v>
      </c>
      <c r="K52" t="s">
        <v>89</v>
      </c>
    </row>
    <row r="53" spans="1:11" x14ac:dyDescent="0.25">
      <c r="A53" t="s">
        <v>858</v>
      </c>
      <c r="B53" t="s">
        <v>794</v>
      </c>
      <c r="C53" s="2">
        <v>46033</v>
      </c>
      <c r="D53" t="s">
        <v>317</v>
      </c>
      <c r="E53">
        <v>141</v>
      </c>
      <c r="F53" t="s">
        <v>29</v>
      </c>
      <c r="G53" t="s">
        <v>85</v>
      </c>
      <c r="H53" t="s">
        <v>827</v>
      </c>
      <c r="I53" s="2">
        <v>46033</v>
      </c>
      <c r="J53">
        <v>128</v>
      </c>
      <c r="K53" t="s">
        <v>89</v>
      </c>
    </row>
    <row r="54" spans="1:11" x14ac:dyDescent="0.25">
      <c r="A54" t="s">
        <v>51</v>
      </c>
      <c r="B54" t="s">
        <v>807</v>
      </c>
      <c r="C54" s="2">
        <v>46034</v>
      </c>
      <c r="D54" t="s">
        <v>696</v>
      </c>
      <c r="E54">
        <v>1</v>
      </c>
      <c r="F54" t="s">
        <v>29</v>
      </c>
      <c r="G54" t="s">
        <v>85</v>
      </c>
      <c r="H54" t="s">
        <v>839</v>
      </c>
      <c r="I54" s="2">
        <v>46034</v>
      </c>
      <c r="J54">
        <v>12</v>
      </c>
      <c r="K54" t="s">
        <v>89</v>
      </c>
    </row>
    <row r="55" spans="1:11" x14ac:dyDescent="0.25">
      <c r="A55" t="s">
        <v>858</v>
      </c>
      <c r="B55" t="s">
        <v>794</v>
      </c>
      <c r="C55" s="2">
        <v>46034</v>
      </c>
      <c r="D55" t="s">
        <v>128</v>
      </c>
      <c r="E55">
        <v>72</v>
      </c>
      <c r="F55" t="s">
        <v>29</v>
      </c>
      <c r="G55" t="s">
        <v>85</v>
      </c>
      <c r="H55" t="s">
        <v>827</v>
      </c>
      <c r="I55" s="2">
        <v>46034</v>
      </c>
      <c r="J55">
        <v>71</v>
      </c>
      <c r="K55" t="s">
        <v>89</v>
      </c>
    </row>
    <row r="56" spans="1:11" x14ac:dyDescent="0.25">
      <c r="A56" t="s">
        <v>861</v>
      </c>
      <c r="B56" t="s">
        <v>799</v>
      </c>
      <c r="C56" s="2">
        <v>46034</v>
      </c>
      <c r="D56" t="s">
        <v>205</v>
      </c>
      <c r="E56">
        <v>177</v>
      </c>
      <c r="F56" t="s">
        <v>29</v>
      </c>
      <c r="G56" t="s">
        <v>85</v>
      </c>
      <c r="H56" t="s">
        <v>832</v>
      </c>
      <c r="I56" s="2">
        <v>46034</v>
      </c>
      <c r="J56">
        <v>172</v>
      </c>
      <c r="K56" t="s">
        <v>89</v>
      </c>
    </row>
    <row r="57" spans="1:11" x14ac:dyDescent="0.25">
      <c r="A57" t="s">
        <v>858</v>
      </c>
      <c r="B57" t="s">
        <v>791</v>
      </c>
      <c r="C57" s="2">
        <v>46034</v>
      </c>
      <c r="D57" t="s">
        <v>250</v>
      </c>
      <c r="E57">
        <v>41</v>
      </c>
      <c r="F57" t="s">
        <v>29</v>
      </c>
      <c r="G57" t="s">
        <v>85</v>
      </c>
      <c r="H57" t="s">
        <v>824</v>
      </c>
      <c r="I57" s="2">
        <v>46034</v>
      </c>
      <c r="J57">
        <v>36</v>
      </c>
      <c r="K57" t="s">
        <v>89</v>
      </c>
    </row>
    <row r="58" spans="1:11" x14ac:dyDescent="0.25">
      <c r="A58" t="s">
        <v>858</v>
      </c>
      <c r="B58" t="s">
        <v>797</v>
      </c>
      <c r="C58" s="2">
        <v>46034</v>
      </c>
      <c r="D58" t="s">
        <v>48</v>
      </c>
      <c r="E58">
        <v>135</v>
      </c>
      <c r="F58" t="s">
        <v>29</v>
      </c>
      <c r="G58" t="s">
        <v>85</v>
      </c>
      <c r="H58" t="s">
        <v>830</v>
      </c>
      <c r="I58" s="2">
        <v>46034</v>
      </c>
      <c r="J58">
        <v>122</v>
      </c>
      <c r="K58" t="s">
        <v>89</v>
      </c>
    </row>
    <row r="59" spans="1:11" x14ac:dyDescent="0.25">
      <c r="A59" t="s">
        <v>859</v>
      </c>
      <c r="B59" t="s">
        <v>792</v>
      </c>
      <c r="C59" s="2">
        <v>46035</v>
      </c>
      <c r="D59" t="s">
        <v>174</v>
      </c>
      <c r="E59">
        <v>163</v>
      </c>
      <c r="F59" t="s">
        <v>29</v>
      </c>
      <c r="G59" t="s">
        <v>85</v>
      </c>
      <c r="H59" t="s">
        <v>825</v>
      </c>
      <c r="I59" s="2">
        <v>46035</v>
      </c>
      <c r="J59">
        <v>148</v>
      </c>
      <c r="K59" t="s">
        <v>89</v>
      </c>
    </row>
    <row r="60" spans="1:11" x14ac:dyDescent="0.25">
      <c r="A60" t="s">
        <v>858</v>
      </c>
      <c r="B60" t="s">
        <v>800</v>
      </c>
      <c r="C60" s="2">
        <v>46035</v>
      </c>
      <c r="D60" t="s">
        <v>65</v>
      </c>
      <c r="E60">
        <v>124</v>
      </c>
      <c r="F60" t="s">
        <v>29</v>
      </c>
      <c r="G60" t="s">
        <v>85</v>
      </c>
      <c r="H60" t="s">
        <v>824</v>
      </c>
      <c r="I60" s="2">
        <v>46035</v>
      </c>
      <c r="J60">
        <v>95</v>
      </c>
      <c r="K60" t="s">
        <v>89</v>
      </c>
    </row>
    <row r="61" spans="1:11" x14ac:dyDescent="0.25">
      <c r="A61" t="s">
        <v>860</v>
      </c>
      <c r="B61" t="s">
        <v>793</v>
      </c>
      <c r="C61" s="2">
        <v>46035</v>
      </c>
      <c r="D61" t="s">
        <v>264</v>
      </c>
      <c r="E61">
        <v>178</v>
      </c>
      <c r="F61" t="s">
        <v>29</v>
      </c>
      <c r="G61" t="s">
        <v>85</v>
      </c>
      <c r="H61" t="s">
        <v>826</v>
      </c>
      <c r="I61" s="2">
        <v>46035</v>
      </c>
      <c r="J61">
        <v>176</v>
      </c>
      <c r="K61" t="s">
        <v>89</v>
      </c>
    </row>
    <row r="62" spans="1:11" x14ac:dyDescent="0.25">
      <c r="A62" t="s">
        <v>51</v>
      </c>
      <c r="B62" t="s">
        <v>808</v>
      </c>
      <c r="C62" s="2">
        <v>46035</v>
      </c>
      <c r="D62" t="s">
        <v>488</v>
      </c>
      <c r="E62">
        <v>1</v>
      </c>
      <c r="F62" t="s">
        <v>29</v>
      </c>
      <c r="G62" t="s">
        <v>85</v>
      </c>
      <c r="H62" t="s">
        <v>840</v>
      </c>
      <c r="I62" s="2">
        <v>46035</v>
      </c>
      <c r="J62">
        <v>6</v>
      </c>
      <c r="K62" t="s">
        <v>89</v>
      </c>
    </row>
    <row r="63" spans="1:11" x14ac:dyDescent="0.25">
      <c r="A63" t="s">
        <v>858</v>
      </c>
      <c r="B63" t="s">
        <v>794</v>
      </c>
      <c r="C63" s="2">
        <v>46035</v>
      </c>
      <c r="D63" t="s">
        <v>128</v>
      </c>
      <c r="E63">
        <v>69</v>
      </c>
      <c r="F63" t="s">
        <v>29</v>
      </c>
      <c r="G63" t="s">
        <v>85</v>
      </c>
      <c r="H63" t="s">
        <v>827</v>
      </c>
      <c r="I63" s="2">
        <v>46035</v>
      </c>
      <c r="J63">
        <v>67</v>
      </c>
      <c r="K63" t="s">
        <v>89</v>
      </c>
    </row>
    <row r="64" spans="1:11" x14ac:dyDescent="0.25">
      <c r="A64" t="s">
        <v>55</v>
      </c>
      <c r="B64" t="s">
        <v>802</v>
      </c>
      <c r="C64" s="2">
        <v>46036</v>
      </c>
      <c r="D64" t="s">
        <v>95</v>
      </c>
      <c r="E64">
        <v>0</v>
      </c>
      <c r="F64" t="s">
        <v>29</v>
      </c>
      <c r="G64" t="s">
        <v>35</v>
      </c>
      <c r="H64" t="s">
        <v>834</v>
      </c>
      <c r="I64" s="2">
        <v>46036</v>
      </c>
      <c r="J64">
        <v>1</v>
      </c>
      <c r="K64" t="s">
        <v>35</v>
      </c>
    </row>
    <row r="65" spans="1:11" x14ac:dyDescent="0.25">
      <c r="A65" t="s">
        <v>51</v>
      </c>
      <c r="B65" t="s">
        <v>809</v>
      </c>
      <c r="C65" s="2">
        <v>46036</v>
      </c>
      <c r="D65" t="s">
        <v>133</v>
      </c>
      <c r="E65">
        <v>0</v>
      </c>
      <c r="F65" t="s">
        <v>29</v>
      </c>
      <c r="G65" t="s">
        <v>35</v>
      </c>
      <c r="H65" t="s">
        <v>841</v>
      </c>
      <c r="I65" s="2">
        <v>46036</v>
      </c>
      <c r="J65">
        <v>1</v>
      </c>
      <c r="K65" t="s">
        <v>35</v>
      </c>
    </row>
    <row r="66" spans="1:11" x14ac:dyDescent="0.25">
      <c r="A66" t="s">
        <v>858</v>
      </c>
      <c r="B66" t="s">
        <v>797</v>
      </c>
      <c r="C66" s="2">
        <v>46036</v>
      </c>
      <c r="D66" t="s">
        <v>312</v>
      </c>
      <c r="E66">
        <v>66</v>
      </c>
      <c r="F66" t="s">
        <v>29</v>
      </c>
      <c r="G66" t="s">
        <v>85</v>
      </c>
      <c r="H66" t="s">
        <v>824</v>
      </c>
      <c r="I66" s="2">
        <v>46036</v>
      </c>
      <c r="J66">
        <v>71</v>
      </c>
      <c r="K66" t="s">
        <v>89</v>
      </c>
    </row>
    <row r="67" spans="1:11" x14ac:dyDescent="0.25">
      <c r="A67" t="s">
        <v>861</v>
      </c>
      <c r="B67" t="s">
        <v>799</v>
      </c>
      <c r="C67" s="2">
        <v>46036</v>
      </c>
      <c r="D67" t="s">
        <v>205</v>
      </c>
      <c r="E67">
        <v>158</v>
      </c>
      <c r="F67" t="s">
        <v>644</v>
      </c>
      <c r="G67" t="s">
        <v>85</v>
      </c>
      <c r="H67" t="s">
        <v>832</v>
      </c>
      <c r="I67" s="2">
        <v>46036</v>
      </c>
      <c r="J67">
        <v>178</v>
      </c>
      <c r="K67" t="s">
        <v>89</v>
      </c>
    </row>
    <row r="68" spans="1:11" x14ac:dyDescent="0.25">
      <c r="A68" t="s">
        <v>858</v>
      </c>
      <c r="B68" t="s">
        <v>794</v>
      </c>
      <c r="C68" s="2">
        <v>46036</v>
      </c>
      <c r="D68" t="s">
        <v>128</v>
      </c>
      <c r="E68">
        <v>56</v>
      </c>
      <c r="F68" t="s">
        <v>29</v>
      </c>
      <c r="G68" t="s">
        <v>85</v>
      </c>
      <c r="H68" t="s">
        <v>827</v>
      </c>
      <c r="I68" s="2">
        <v>46036</v>
      </c>
      <c r="J68">
        <v>72</v>
      </c>
      <c r="K68" t="s">
        <v>89</v>
      </c>
    </row>
    <row r="69" spans="1:11" x14ac:dyDescent="0.25">
      <c r="A69" t="s">
        <v>55</v>
      </c>
      <c r="B69" t="s">
        <v>803</v>
      </c>
      <c r="C69" s="2">
        <v>46036</v>
      </c>
      <c r="D69" t="s">
        <v>58</v>
      </c>
      <c r="E69">
        <v>0</v>
      </c>
      <c r="F69" t="s">
        <v>29</v>
      </c>
      <c r="G69" t="s">
        <v>35</v>
      </c>
      <c r="H69" t="s">
        <v>835</v>
      </c>
      <c r="I69" s="2">
        <v>46036</v>
      </c>
      <c r="J69">
        <v>1</v>
      </c>
      <c r="K69" t="s">
        <v>35</v>
      </c>
    </row>
    <row r="70" spans="1:11" x14ac:dyDescent="0.25">
      <c r="A70" t="s">
        <v>860</v>
      </c>
      <c r="B70" t="s">
        <v>793</v>
      </c>
      <c r="C70" s="2">
        <v>46037</v>
      </c>
      <c r="D70" t="s">
        <v>264</v>
      </c>
      <c r="E70">
        <v>163</v>
      </c>
      <c r="F70" t="s">
        <v>29</v>
      </c>
      <c r="G70" t="s">
        <v>85</v>
      </c>
      <c r="H70" t="s">
        <v>826</v>
      </c>
      <c r="I70" s="2">
        <v>46037</v>
      </c>
      <c r="J70">
        <v>182</v>
      </c>
      <c r="K70" t="s">
        <v>89</v>
      </c>
    </row>
    <row r="71" spans="1:11" x14ac:dyDescent="0.25">
      <c r="A71" t="s">
        <v>51</v>
      </c>
      <c r="B71" t="s">
        <v>810</v>
      </c>
      <c r="C71" s="2">
        <v>46037</v>
      </c>
      <c r="D71" t="s">
        <v>612</v>
      </c>
      <c r="E71">
        <v>5</v>
      </c>
      <c r="F71" t="s">
        <v>29</v>
      </c>
      <c r="G71" t="s">
        <v>85</v>
      </c>
      <c r="H71" t="s">
        <v>842</v>
      </c>
      <c r="I71" s="2">
        <v>46038</v>
      </c>
      <c r="J71">
        <v>13</v>
      </c>
      <c r="K71" t="s">
        <v>89</v>
      </c>
    </row>
    <row r="72" spans="1:11" x14ac:dyDescent="0.25">
      <c r="A72" t="s">
        <v>858</v>
      </c>
      <c r="B72" t="s">
        <v>797</v>
      </c>
      <c r="C72" s="2">
        <v>46037</v>
      </c>
      <c r="D72" t="s">
        <v>48</v>
      </c>
      <c r="E72">
        <v>90</v>
      </c>
      <c r="F72" t="s">
        <v>29</v>
      </c>
      <c r="G72" t="s">
        <v>85</v>
      </c>
      <c r="H72" t="s">
        <v>830</v>
      </c>
      <c r="I72" s="2">
        <v>46037</v>
      </c>
      <c r="J72">
        <v>164</v>
      </c>
      <c r="K72" t="s">
        <v>89</v>
      </c>
    </row>
    <row r="73" spans="1:11" x14ac:dyDescent="0.25">
      <c r="A73" t="s">
        <v>858</v>
      </c>
      <c r="B73" t="s">
        <v>794</v>
      </c>
      <c r="C73" s="2">
        <v>46037</v>
      </c>
      <c r="D73" t="s">
        <v>128</v>
      </c>
      <c r="E73">
        <v>56</v>
      </c>
      <c r="F73" t="s">
        <v>29</v>
      </c>
      <c r="G73" t="s">
        <v>85</v>
      </c>
      <c r="H73" t="s">
        <v>827</v>
      </c>
      <c r="I73" s="2">
        <v>46037</v>
      </c>
      <c r="J73">
        <v>56</v>
      </c>
      <c r="K73" t="s">
        <v>89</v>
      </c>
    </row>
    <row r="74" spans="1:11" x14ac:dyDescent="0.25">
      <c r="A74" t="s">
        <v>858</v>
      </c>
      <c r="B74" t="s">
        <v>791</v>
      </c>
      <c r="C74" s="2">
        <v>46037</v>
      </c>
      <c r="D74" t="s">
        <v>250</v>
      </c>
      <c r="E74">
        <v>49</v>
      </c>
      <c r="F74" t="s">
        <v>29</v>
      </c>
      <c r="G74" t="s">
        <v>85</v>
      </c>
      <c r="H74" t="s">
        <v>824</v>
      </c>
      <c r="I74" s="2">
        <v>46037</v>
      </c>
      <c r="J74">
        <v>67</v>
      </c>
      <c r="K74" t="s">
        <v>89</v>
      </c>
    </row>
    <row r="75" spans="1:11" x14ac:dyDescent="0.25">
      <c r="A75" t="s">
        <v>858</v>
      </c>
      <c r="B75" t="s">
        <v>800</v>
      </c>
      <c r="C75" s="2">
        <v>46038</v>
      </c>
      <c r="D75" t="s">
        <v>65</v>
      </c>
      <c r="E75">
        <v>112</v>
      </c>
      <c r="F75" t="s">
        <v>29</v>
      </c>
      <c r="G75" t="s">
        <v>85</v>
      </c>
      <c r="H75" t="s">
        <v>824</v>
      </c>
      <c r="I75" s="2">
        <v>46038</v>
      </c>
      <c r="J75">
        <v>175</v>
      </c>
      <c r="K75" t="s">
        <v>89</v>
      </c>
    </row>
    <row r="76" spans="1:11" x14ac:dyDescent="0.25">
      <c r="A76" t="s">
        <v>51</v>
      </c>
      <c r="B76" t="s">
        <v>811</v>
      </c>
      <c r="C76" s="2">
        <v>46038</v>
      </c>
      <c r="D76" t="s">
        <v>198</v>
      </c>
      <c r="E76">
        <v>3</v>
      </c>
      <c r="F76" t="s">
        <v>29</v>
      </c>
      <c r="G76" t="s">
        <v>85</v>
      </c>
      <c r="H76" t="s">
        <v>843</v>
      </c>
      <c r="I76" s="2">
        <v>46038</v>
      </c>
      <c r="J76">
        <v>1</v>
      </c>
      <c r="K76" t="s">
        <v>89</v>
      </c>
    </row>
    <row r="77" spans="1:11" x14ac:dyDescent="0.25">
      <c r="A77" t="s">
        <v>861</v>
      </c>
      <c r="B77" t="s">
        <v>799</v>
      </c>
      <c r="C77" s="2">
        <v>46038</v>
      </c>
      <c r="D77" t="s">
        <v>205</v>
      </c>
      <c r="E77">
        <v>137</v>
      </c>
      <c r="F77" t="s">
        <v>29</v>
      </c>
      <c r="G77" t="s">
        <v>85</v>
      </c>
      <c r="H77" t="s">
        <v>832</v>
      </c>
      <c r="I77" s="2">
        <v>46038</v>
      </c>
      <c r="J77">
        <v>179</v>
      </c>
      <c r="K77" t="s">
        <v>89</v>
      </c>
    </row>
    <row r="78" spans="1:11" x14ac:dyDescent="0.25">
      <c r="A78" t="s">
        <v>858</v>
      </c>
      <c r="B78" t="s">
        <v>794</v>
      </c>
      <c r="C78" s="2">
        <v>46038</v>
      </c>
      <c r="D78" t="s">
        <v>128</v>
      </c>
      <c r="E78">
        <v>72</v>
      </c>
      <c r="F78" t="s">
        <v>164</v>
      </c>
      <c r="G78" t="s">
        <v>85</v>
      </c>
      <c r="H78" t="s">
        <v>827</v>
      </c>
      <c r="I78" s="2">
        <v>46038</v>
      </c>
      <c r="J78">
        <v>57</v>
      </c>
      <c r="K78" t="s">
        <v>89</v>
      </c>
    </row>
    <row r="79" spans="1:11" x14ac:dyDescent="0.25">
      <c r="A79" t="s">
        <v>859</v>
      </c>
      <c r="B79" t="s">
        <v>792</v>
      </c>
      <c r="C79" s="2">
        <v>46039</v>
      </c>
      <c r="D79" t="s">
        <v>174</v>
      </c>
      <c r="E79">
        <v>93</v>
      </c>
      <c r="F79" t="s">
        <v>29</v>
      </c>
      <c r="G79" t="s">
        <v>85</v>
      </c>
      <c r="H79" t="s">
        <v>825</v>
      </c>
      <c r="I79" s="2">
        <v>46039</v>
      </c>
      <c r="J79">
        <v>173</v>
      </c>
      <c r="K79" t="s">
        <v>89</v>
      </c>
    </row>
    <row r="80" spans="1:11" x14ac:dyDescent="0.25">
      <c r="A80" t="s">
        <v>860</v>
      </c>
      <c r="B80" t="s">
        <v>793</v>
      </c>
      <c r="C80" s="2">
        <v>46039</v>
      </c>
      <c r="D80" t="s">
        <v>264</v>
      </c>
      <c r="E80">
        <v>142</v>
      </c>
      <c r="F80" t="s">
        <v>29</v>
      </c>
      <c r="G80" t="s">
        <v>85</v>
      </c>
      <c r="H80" t="s">
        <v>826</v>
      </c>
      <c r="I80" s="2">
        <v>46039</v>
      </c>
      <c r="J80">
        <v>181</v>
      </c>
      <c r="K80" t="s">
        <v>89</v>
      </c>
    </row>
    <row r="81" spans="1:11" x14ac:dyDescent="0.25">
      <c r="A81" t="s">
        <v>858</v>
      </c>
      <c r="B81" t="s">
        <v>794</v>
      </c>
      <c r="C81" s="2">
        <v>46039</v>
      </c>
      <c r="D81" t="s">
        <v>128</v>
      </c>
      <c r="E81">
        <v>70</v>
      </c>
      <c r="F81" t="s">
        <v>29</v>
      </c>
      <c r="G81" t="s">
        <v>85</v>
      </c>
      <c r="H81" t="s">
        <v>827</v>
      </c>
      <c r="I81" s="2">
        <v>46039</v>
      </c>
      <c r="J81">
        <v>57</v>
      </c>
      <c r="K81" t="s">
        <v>89</v>
      </c>
    </row>
    <row r="82" spans="1:11" x14ac:dyDescent="0.25">
      <c r="A82" t="s">
        <v>858</v>
      </c>
      <c r="B82" t="s">
        <v>797</v>
      </c>
      <c r="C82" s="2">
        <v>46039</v>
      </c>
      <c r="D82" t="s">
        <v>312</v>
      </c>
      <c r="E82">
        <v>42</v>
      </c>
      <c r="F82" t="s">
        <v>29</v>
      </c>
      <c r="G82" t="s">
        <v>85</v>
      </c>
      <c r="H82" t="s">
        <v>824</v>
      </c>
      <c r="I82" s="2">
        <v>46039</v>
      </c>
      <c r="J82">
        <v>69</v>
      </c>
      <c r="K82" t="s">
        <v>89</v>
      </c>
    </row>
    <row r="83" spans="1:11" x14ac:dyDescent="0.25">
      <c r="A83" t="s">
        <v>858</v>
      </c>
      <c r="B83" t="s">
        <v>798</v>
      </c>
      <c r="C83" s="2">
        <v>46039</v>
      </c>
      <c r="D83" t="s">
        <v>145</v>
      </c>
      <c r="E83">
        <v>42</v>
      </c>
      <c r="F83" t="s">
        <v>29</v>
      </c>
      <c r="G83" t="s">
        <v>85</v>
      </c>
      <c r="H83" t="s">
        <v>831</v>
      </c>
      <c r="I83" s="2">
        <v>46039</v>
      </c>
      <c r="J83">
        <v>54</v>
      </c>
      <c r="K83" t="s">
        <v>89</v>
      </c>
    </row>
    <row r="84" spans="1:11" x14ac:dyDescent="0.25">
      <c r="A84" t="s">
        <v>859</v>
      </c>
      <c r="B84" t="s">
        <v>801</v>
      </c>
      <c r="C84" s="2">
        <v>46040</v>
      </c>
      <c r="D84" t="s">
        <v>106</v>
      </c>
      <c r="E84">
        <v>88</v>
      </c>
      <c r="F84" t="s">
        <v>29</v>
      </c>
      <c r="G84" t="s">
        <v>85</v>
      </c>
      <c r="H84" t="s">
        <v>833</v>
      </c>
      <c r="I84" s="2">
        <v>46040</v>
      </c>
      <c r="J84">
        <v>157</v>
      </c>
      <c r="K84" t="s">
        <v>89</v>
      </c>
    </row>
    <row r="85" spans="1:11" x14ac:dyDescent="0.25">
      <c r="A85" t="s">
        <v>861</v>
      </c>
      <c r="B85" t="s">
        <v>799</v>
      </c>
      <c r="C85" s="2">
        <v>46040</v>
      </c>
      <c r="D85" t="s">
        <v>205</v>
      </c>
      <c r="E85">
        <v>127</v>
      </c>
      <c r="F85" t="s">
        <v>29</v>
      </c>
      <c r="G85" t="s">
        <v>85</v>
      </c>
      <c r="H85" t="s">
        <v>832</v>
      </c>
      <c r="I85" s="2">
        <v>46040</v>
      </c>
      <c r="J85">
        <v>168</v>
      </c>
      <c r="K85" t="s">
        <v>89</v>
      </c>
    </row>
    <row r="86" spans="1:11" x14ac:dyDescent="0.25">
      <c r="A86" t="s">
        <v>858</v>
      </c>
      <c r="B86" t="s">
        <v>797</v>
      </c>
      <c r="C86" s="2">
        <v>46040</v>
      </c>
      <c r="D86" t="s">
        <v>142</v>
      </c>
      <c r="E86">
        <v>44</v>
      </c>
      <c r="F86" t="s">
        <v>29</v>
      </c>
      <c r="G86" t="s">
        <v>85</v>
      </c>
      <c r="H86" t="s">
        <v>824</v>
      </c>
      <c r="I86" s="2">
        <v>46040</v>
      </c>
      <c r="J86">
        <v>70</v>
      </c>
      <c r="K86" t="s">
        <v>89</v>
      </c>
    </row>
    <row r="87" spans="1:11" x14ac:dyDescent="0.25">
      <c r="A87" t="s">
        <v>858</v>
      </c>
      <c r="B87" t="s">
        <v>794</v>
      </c>
      <c r="C87" s="2">
        <v>46040</v>
      </c>
      <c r="D87" t="s">
        <v>481</v>
      </c>
      <c r="E87">
        <v>67</v>
      </c>
      <c r="F87" t="s">
        <v>29</v>
      </c>
      <c r="G87" t="s">
        <v>85</v>
      </c>
      <c r="H87" t="s">
        <v>827</v>
      </c>
      <c r="I87" s="2">
        <v>46040</v>
      </c>
      <c r="J87">
        <v>73</v>
      </c>
      <c r="K87" t="s">
        <v>89</v>
      </c>
    </row>
    <row r="88" spans="1:11" x14ac:dyDescent="0.25">
      <c r="A88" t="s">
        <v>861</v>
      </c>
      <c r="B88" t="s">
        <v>799</v>
      </c>
      <c r="C88" s="2">
        <v>46041</v>
      </c>
      <c r="D88" t="s">
        <v>205</v>
      </c>
      <c r="E88">
        <v>134</v>
      </c>
      <c r="F88" t="s">
        <v>29</v>
      </c>
      <c r="G88" t="s">
        <v>85</v>
      </c>
      <c r="H88" t="s">
        <v>832</v>
      </c>
      <c r="I88" s="2">
        <v>46041</v>
      </c>
      <c r="J88">
        <v>165</v>
      </c>
      <c r="K88" t="s">
        <v>89</v>
      </c>
    </row>
    <row r="89" spans="1:11" x14ac:dyDescent="0.25">
      <c r="A89" t="s">
        <v>858</v>
      </c>
      <c r="B89" t="s">
        <v>791</v>
      </c>
      <c r="C89" s="2">
        <v>46041</v>
      </c>
      <c r="D89" t="s">
        <v>648</v>
      </c>
      <c r="E89">
        <v>44</v>
      </c>
      <c r="F89" t="s">
        <v>29</v>
      </c>
      <c r="G89" t="s">
        <v>85</v>
      </c>
      <c r="H89" t="s">
        <v>824</v>
      </c>
      <c r="I89" s="2">
        <v>46041</v>
      </c>
      <c r="J89">
        <v>73</v>
      </c>
      <c r="K89" t="s">
        <v>89</v>
      </c>
    </row>
    <row r="90" spans="1:11" x14ac:dyDescent="0.25">
      <c r="A90" t="s">
        <v>51</v>
      </c>
      <c r="B90" t="s">
        <v>812</v>
      </c>
      <c r="C90" s="2">
        <v>46041</v>
      </c>
      <c r="D90" t="s">
        <v>525</v>
      </c>
      <c r="E90">
        <v>1</v>
      </c>
      <c r="F90" t="s">
        <v>29</v>
      </c>
      <c r="G90" t="s">
        <v>85</v>
      </c>
      <c r="H90" t="s">
        <v>844</v>
      </c>
      <c r="I90" s="2">
        <v>46041</v>
      </c>
      <c r="J90">
        <v>12</v>
      </c>
      <c r="K90" t="s">
        <v>89</v>
      </c>
    </row>
    <row r="91" spans="1:11" x14ac:dyDescent="0.25">
      <c r="A91" t="s">
        <v>858</v>
      </c>
      <c r="B91" t="s">
        <v>794</v>
      </c>
      <c r="C91" s="2">
        <v>46041</v>
      </c>
      <c r="D91" t="s">
        <v>481</v>
      </c>
      <c r="E91">
        <v>52</v>
      </c>
      <c r="F91" t="s">
        <v>29</v>
      </c>
      <c r="G91" t="s">
        <v>85</v>
      </c>
      <c r="H91" t="s">
        <v>827</v>
      </c>
      <c r="I91" s="2">
        <v>46041</v>
      </c>
      <c r="J91">
        <v>61</v>
      </c>
      <c r="K91" t="s">
        <v>89</v>
      </c>
    </row>
    <row r="92" spans="1:11" x14ac:dyDescent="0.25">
      <c r="A92" t="s">
        <v>858</v>
      </c>
      <c r="B92" t="s">
        <v>797</v>
      </c>
      <c r="C92" s="2">
        <v>46041</v>
      </c>
      <c r="D92" t="s">
        <v>48</v>
      </c>
      <c r="E92">
        <v>43</v>
      </c>
      <c r="F92" t="s">
        <v>29</v>
      </c>
      <c r="G92" t="s">
        <v>85</v>
      </c>
      <c r="H92" t="s">
        <v>830</v>
      </c>
      <c r="I92" s="2">
        <v>46041</v>
      </c>
      <c r="J92">
        <v>160</v>
      </c>
      <c r="K92" t="s">
        <v>89</v>
      </c>
    </row>
    <row r="93" spans="1:11" x14ac:dyDescent="0.25">
      <c r="A93" t="s">
        <v>858</v>
      </c>
      <c r="B93" t="s">
        <v>800</v>
      </c>
      <c r="C93" s="2">
        <v>46042</v>
      </c>
      <c r="D93" t="s">
        <v>65</v>
      </c>
      <c r="E93">
        <v>75</v>
      </c>
      <c r="F93" t="s">
        <v>29</v>
      </c>
      <c r="G93" t="s">
        <v>85</v>
      </c>
      <c r="H93" t="s">
        <v>824</v>
      </c>
      <c r="I93" s="2">
        <v>46042</v>
      </c>
      <c r="J93">
        <v>168</v>
      </c>
      <c r="K93" t="s">
        <v>89</v>
      </c>
    </row>
    <row r="94" spans="1:11" x14ac:dyDescent="0.25">
      <c r="A94" t="s">
        <v>859</v>
      </c>
      <c r="B94" t="s">
        <v>792</v>
      </c>
      <c r="C94" s="2">
        <v>46042</v>
      </c>
      <c r="D94" t="s">
        <v>174</v>
      </c>
      <c r="E94">
        <v>69</v>
      </c>
      <c r="F94" t="s">
        <v>29</v>
      </c>
      <c r="G94" t="s">
        <v>85</v>
      </c>
      <c r="H94" t="s">
        <v>825</v>
      </c>
      <c r="I94" s="2">
        <v>46042</v>
      </c>
      <c r="J94">
        <v>165</v>
      </c>
      <c r="K94" t="s">
        <v>89</v>
      </c>
    </row>
    <row r="95" spans="1:11" x14ac:dyDescent="0.25">
      <c r="A95" t="s">
        <v>860</v>
      </c>
      <c r="B95" t="s">
        <v>793</v>
      </c>
      <c r="C95" s="2">
        <v>46042</v>
      </c>
      <c r="D95" t="s">
        <v>264</v>
      </c>
      <c r="E95">
        <v>110</v>
      </c>
      <c r="F95" t="s">
        <v>29</v>
      </c>
      <c r="G95" t="s">
        <v>85</v>
      </c>
      <c r="H95" t="s">
        <v>826</v>
      </c>
      <c r="I95" s="2">
        <v>46042</v>
      </c>
      <c r="J95">
        <v>159</v>
      </c>
      <c r="K95" t="s">
        <v>89</v>
      </c>
    </row>
    <row r="96" spans="1:11" x14ac:dyDescent="0.25">
      <c r="A96" t="s">
        <v>858</v>
      </c>
      <c r="B96" t="s">
        <v>798</v>
      </c>
      <c r="C96" s="2">
        <v>46042</v>
      </c>
      <c r="D96" t="s">
        <v>145</v>
      </c>
      <c r="E96">
        <v>41</v>
      </c>
      <c r="F96" t="s">
        <v>29</v>
      </c>
      <c r="G96" t="s">
        <v>85</v>
      </c>
      <c r="H96" t="s">
        <v>831</v>
      </c>
      <c r="I96" s="2">
        <v>46042</v>
      </c>
      <c r="J96">
        <v>58</v>
      </c>
      <c r="K96" t="s">
        <v>89</v>
      </c>
    </row>
    <row r="97" spans="1:11" x14ac:dyDescent="0.25">
      <c r="A97" t="s">
        <v>51</v>
      </c>
      <c r="B97" t="s">
        <v>813</v>
      </c>
      <c r="C97" s="2">
        <v>46042</v>
      </c>
      <c r="D97" t="s">
        <v>76</v>
      </c>
      <c r="E97">
        <v>8</v>
      </c>
      <c r="F97" t="s">
        <v>29</v>
      </c>
      <c r="G97" t="s">
        <v>85</v>
      </c>
      <c r="H97" t="s">
        <v>845</v>
      </c>
      <c r="I97" s="2">
        <v>46044</v>
      </c>
      <c r="J97">
        <v>7</v>
      </c>
      <c r="K97" t="s">
        <v>89</v>
      </c>
    </row>
    <row r="98" spans="1:11" x14ac:dyDescent="0.25">
      <c r="A98" t="s">
        <v>51</v>
      </c>
      <c r="B98" t="s">
        <v>814</v>
      </c>
      <c r="C98" s="2">
        <v>46042</v>
      </c>
      <c r="D98" t="s">
        <v>310</v>
      </c>
      <c r="E98">
        <v>1</v>
      </c>
      <c r="F98" t="s">
        <v>29</v>
      </c>
      <c r="G98" t="s">
        <v>85</v>
      </c>
      <c r="H98" t="s">
        <v>846</v>
      </c>
      <c r="I98" s="2">
        <v>46042</v>
      </c>
      <c r="J98">
        <v>13</v>
      </c>
      <c r="K98" t="s">
        <v>89</v>
      </c>
    </row>
    <row r="99" spans="1:11" x14ac:dyDescent="0.25">
      <c r="A99" t="s">
        <v>858</v>
      </c>
      <c r="B99" t="s">
        <v>794</v>
      </c>
      <c r="C99" s="2">
        <v>46042</v>
      </c>
      <c r="D99" t="s">
        <v>128</v>
      </c>
      <c r="E99">
        <v>70</v>
      </c>
      <c r="F99" t="s">
        <v>29</v>
      </c>
      <c r="G99" t="s">
        <v>85</v>
      </c>
      <c r="H99" t="s">
        <v>827</v>
      </c>
      <c r="I99" s="2">
        <v>46042</v>
      </c>
      <c r="J99">
        <v>71</v>
      </c>
      <c r="K99" t="s">
        <v>89</v>
      </c>
    </row>
    <row r="100" spans="1:11" x14ac:dyDescent="0.25">
      <c r="A100" t="s">
        <v>51</v>
      </c>
      <c r="B100" t="s">
        <v>815</v>
      </c>
      <c r="C100" s="2">
        <v>46042</v>
      </c>
      <c r="D100" t="s">
        <v>133</v>
      </c>
      <c r="E100">
        <v>7</v>
      </c>
      <c r="F100" t="s">
        <v>29</v>
      </c>
      <c r="G100" t="s">
        <v>85</v>
      </c>
      <c r="H100" t="s">
        <v>847</v>
      </c>
      <c r="I100" s="2">
        <v>46043</v>
      </c>
      <c r="J100">
        <v>6</v>
      </c>
      <c r="K100" t="s">
        <v>89</v>
      </c>
    </row>
    <row r="101" spans="1:11" x14ac:dyDescent="0.25">
      <c r="A101" t="s">
        <v>858</v>
      </c>
      <c r="B101" t="s">
        <v>797</v>
      </c>
      <c r="C101" s="2">
        <v>46043</v>
      </c>
      <c r="D101" t="s">
        <v>312</v>
      </c>
      <c r="E101">
        <v>37</v>
      </c>
      <c r="F101" t="s">
        <v>29</v>
      </c>
      <c r="G101" t="s">
        <v>85</v>
      </c>
      <c r="H101" t="s">
        <v>824</v>
      </c>
      <c r="I101" s="2">
        <v>46043</v>
      </c>
      <c r="J101">
        <v>71</v>
      </c>
      <c r="K101" t="s">
        <v>89</v>
      </c>
    </row>
    <row r="102" spans="1:11" x14ac:dyDescent="0.25">
      <c r="A102" t="s">
        <v>861</v>
      </c>
      <c r="B102" t="s">
        <v>799</v>
      </c>
      <c r="C102" s="2">
        <v>46043</v>
      </c>
      <c r="D102" t="s">
        <v>205</v>
      </c>
      <c r="E102">
        <v>103</v>
      </c>
      <c r="F102" t="s">
        <v>522</v>
      </c>
      <c r="G102" t="s">
        <v>85</v>
      </c>
      <c r="H102" t="s">
        <v>832</v>
      </c>
      <c r="I102" s="2">
        <v>46043</v>
      </c>
      <c r="J102">
        <v>161</v>
      </c>
      <c r="K102" t="s">
        <v>89</v>
      </c>
    </row>
    <row r="103" spans="1:11" x14ac:dyDescent="0.25">
      <c r="A103" t="s">
        <v>55</v>
      </c>
      <c r="B103" t="s">
        <v>802</v>
      </c>
      <c r="C103" s="2">
        <v>46043</v>
      </c>
      <c r="D103" t="s">
        <v>95</v>
      </c>
      <c r="E103">
        <v>1</v>
      </c>
      <c r="F103" t="s">
        <v>29</v>
      </c>
      <c r="G103" t="s">
        <v>85</v>
      </c>
      <c r="H103" t="s">
        <v>834</v>
      </c>
      <c r="I103" s="2">
        <v>46043</v>
      </c>
      <c r="J103">
        <v>151</v>
      </c>
      <c r="K103" t="s">
        <v>89</v>
      </c>
    </row>
    <row r="104" spans="1:11" x14ac:dyDescent="0.25">
      <c r="A104" t="s">
        <v>55</v>
      </c>
      <c r="B104" t="s">
        <v>803</v>
      </c>
      <c r="C104" s="2">
        <v>46043</v>
      </c>
      <c r="D104" t="s">
        <v>58</v>
      </c>
      <c r="E104">
        <v>46</v>
      </c>
      <c r="F104" t="s">
        <v>29</v>
      </c>
      <c r="G104" t="s">
        <v>85</v>
      </c>
      <c r="H104" t="s">
        <v>835</v>
      </c>
      <c r="I104" s="2">
        <v>46043</v>
      </c>
      <c r="J104">
        <v>1</v>
      </c>
      <c r="K104" t="s">
        <v>89</v>
      </c>
    </row>
    <row r="105" spans="1:11" x14ac:dyDescent="0.25">
      <c r="A105" t="s">
        <v>858</v>
      </c>
      <c r="B105" t="s">
        <v>794</v>
      </c>
      <c r="C105" s="2">
        <v>46043</v>
      </c>
      <c r="D105" t="s">
        <v>128</v>
      </c>
      <c r="E105">
        <v>68</v>
      </c>
      <c r="F105" t="s">
        <v>29</v>
      </c>
      <c r="G105" t="s">
        <v>85</v>
      </c>
      <c r="H105" t="s">
        <v>827</v>
      </c>
      <c r="I105" s="2">
        <v>46043</v>
      </c>
      <c r="J105">
        <v>65</v>
      </c>
      <c r="K105" t="s">
        <v>89</v>
      </c>
    </row>
    <row r="106" spans="1:11" x14ac:dyDescent="0.25">
      <c r="A106" t="s">
        <v>860</v>
      </c>
      <c r="B106" t="s">
        <v>793</v>
      </c>
      <c r="C106" s="2">
        <v>46044</v>
      </c>
      <c r="D106" t="s">
        <v>264</v>
      </c>
      <c r="E106">
        <v>109</v>
      </c>
      <c r="F106" t="s">
        <v>29</v>
      </c>
      <c r="G106" t="s">
        <v>85</v>
      </c>
      <c r="H106" t="s">
        <v>826</v>
      </c>
      <c r="I106" s="2">
        <v>46044</v>
      </c>
      <c r="J106">
        <v>169</v>
      </c>
      <c r="K106" t="s">
        <v>89</v>
      </c>
    </row>
    <row r="107" spans="1:11" x14ac:dyDescent="0.25">
      <c r="A107" t="s">
        <v>858</v>
      </c>
      <c r="B107" t="s">
        <v>797</v>
      </c>
      <c r="C107" s="2">
        <v>46044</v>
      </c>
      <c r="D107" t="s">
        <v>48</v>
      </c>
      <c r="E107">
        <v>61</v>
      </c>
      <c r="F107" t="s">
        <v>29</v>
      </c>
      <c r="G107" t="s">
        <v>85</v>
      </c>
      <c r="H107" t="s">
        <v>830</v>
      </c>
      <c r="I107" s="2">
        <v>46044</v>
      </c>
      <c r="J107">
        <v>172</v>
      </c>
      <c r="K107" t="s">
        <v>89</v>
      </c>
    </row>
    <row r="108" spans="1:11" x14ac:dyDescent="0.25">
      <c r="A108" t="s">
        <v>858</v>
      </c>
      <c r="B108" t="s">
        <v>791</v>
      </c>
      <c r="C108" s="2">
        <v>46044</v>
      </c>
      <c r="D108" t="s">
        <v>250</v>
      </c>
      <c r="E108">
        <v>66</v>
      </c>
      <c r="F108" t="s">
        <v>29</v>
      </c>
      <c r="G108" t="s">
        <v>85</v>
      </c>
      <c r="H108" t="s">
        <v>824</v>
      </c>
      <c r="I108" s="2">
        <v>46044</v>
      </c>
      <c r="J108">
        <v>60</v>
      </c>
      <c r="K108" t="s">
        <v>89</v>
      </c>
    </row>
    <row r="109" spans="1:11" x14ac:dyDescent="0.25">
      <c r="A109" t="s">
        <v>451</v>
      </c>
      <c r="B109" t="s">
        <v>816</v>
      </c>
      <c r="C109" s="2">
        <v>46044</v>
      </c>
      <c r="D109" t="s">
        <v>75</v>
      </c>
      <c r="E109">
        <v>46</v>
      </c>
      <c r="F109" t="s">
        <v>29</v>
      </c>
      <c r="G109" t="s">
        <v>85</v>
      </c>
      <c r="H109" t="s">
        <v>848</v>
      </c>
      <c r="I109" s="2">
        <v>46044</v>
      </c>
      <c r="J109">
        <v>1</v>
      </c>
      <c r="K109" t="s">
        <v>89</v>
      </c>
    </row>
    <row r="110" spans="1:11" x14ac:dyDescent="0.25">
      <c r="A110" t="s">
        <v>858</v>
      </c>
      <c r="B110" t="s">
        <v>794</v>
      </c>
      <c r="C110" s="2">
        <v>46044</v>
      </c>
      <c r="D110" t="s">
        <v>128</v>
      </c>
      <c r="E110">
        <v>72</v>
      </c>
      <c r="F110" t="s">
        <v>29</v>
      </c>
      <c r="G110" t="s">
        <v>85</v>
      </c>
      <c r="H110" t="s">
        <v>827</v>
      </c>
      <c r="I110" s="2">
        <v>46044</v>
      </c>
      <c r="J110">
        <v>71</v>
      </c>
      <c r="K110" t="s">
        <v>89</v>
      </c>
    </row>
    <row r="111" spans="1:11" x14ac:dyDescent="0.25">
      <c r="A111" t="s">
        <v>309</v>
      </c>
      <c r="B111" t="s">
        <v>817</v>
      </c>
      <c r="C111" s="2">
        <v>46044</v>
      </c>
      <c r="D111" t="s">
        <v>75</v>
      </c>
      <c r="E111">
        <v>0</v>
      </c>
      <c r="F111" t="s">
        <v>29</v>
      </c>
      <c r="G111" t="s">
        <v>35</v>
      </c>
      <c r="H111" t="s">
        <v>849</v>
      </c>
      <c r="I111" s="2">
        <v>46044</v>
      </c>
      <c r="J111">
        <v>1</v>
      </c>
      <c r="K111" t="s">
        <v>35</v>
      </c>
    </row>
    <row r="112" spans="1:11" x14ac:dyDescent="0.25">
      <c r="A112" t="s">
        <v>861</v>
      </c>
      <c r="B112" t="s">
        <v>799</v>
      </c>
      <c r="C112" s="2">
        <v>46045</v>
      </c>
      <c r="D112" t="s">
        <v>205</v>
      </c>
      <c r="E112">
        <v>116</v>
      </c>
      <c r="F112" t="s">
        <v>29</v>
      </c>
      <c r="G112" t="s">
        <v>85</v>
      </c>
      <c r="H112" t="s">
        <v>832</v>
      </c>
      <c r="I112" s="2">
        <v>46045</v>
      </c>
      <c r="J112">
        <v>181</v>
      </c>
      <c r="K112" t="s">
        <v>89</v>
      </c>
    </row>
    <row r="113" spans="1:11" x14ac:dyDescent="0.25">
      <c r="A113" t="s">
        <v>858</v>
      </c>
      <c r="B113" t="s">
        <v>800</v>
      </c>
      <c r="C113" s="2">
        <v>46045</v>
      </c>
      <c r="D113" t="s">
        <v>65</v>
      </c>
      <c r="E113">
        <v>72</v>
      </c>
      <c r="F113" t="s">
        <v>29</v>
      </c>
      <c r="G113" t="s">
        <v>85</v>
      </c>
      <c r="H113" t="s">
        <v>824</v>
      </c>
      <c r="I113" s="2">
        <v>46045</v>
      </c>
      <c r="J113">
        <v>155</v>
      </c>
      <c r="K113" t="s">
        <v>89</v>
      </c>
    </row>
    <row r="114" spans="1:11" x14ac:dyDescent="0.25">
      <c r="A114" t="s">
        <v>858</v>
      </c>
      <c r="B114" t="s">
        <v>794</v>
      </c>
      <c r="C114" s="2">
        <v>46045</v>
      </c>
      <c r="D114" t="s">
        <v>128</v>
      </c>
      <c r="E114">
        <v>70</v>
      </c>
      <c r="F114" t="s">
        <v>29</v>
      </c>
      <c r="G114" t="s">
        <v>85</v>
      </c>
      <c r="H114" t="s">
        <v>827</v>
      </c>
      <c r="I114" s="2">
        <v>46045</v>
      </c>
      <c r="J114">
        <v>73</v>
      </c>
      <c r="K114" t="s">
        <v>89</v>
      </c>
    </row>
    <row r="115" spans="1:11" x14ac:dyDescent="0.25">
      <c r="A115" t="s">
        <v>858</v>
      </c>
      <c r="B115" t="s">
        <v>798</v>
      </c>
      <c r="C115" s="2">
        <v>46045</v>
      </c>
      <c r="D115" t="s">
        <v>145</v>
      </c>
      <c r="E115">
        <v>57</v>
      </c>
      <c r="F115" t="s">
        <v>29</v>
      </c>
      <c r="G115" t="s">
        <v>85</v>
      </c>
      <c r="H115" t="s">
        <v>831</v>
      </c>
      <c r="I115" s="2">
        <v>46045</v>
      </c>
      <c r="J115">
        <v>47</v>
      </c>
      <c r="K115" t="s">
        <v>89</v>
      </c>
    </row>
    <row r="116" spans="1:11" x14ac:dyDescent="0.25">
      <c r="A116" t="s">
        <v>859</v>
      </c>
      <c r="B116" t="s">
        <v>792</v>
      </c>
      <c r="C116" s="2">
        <v>46046</v>
      </c>
      <c r="D116" t="s">
        <v>174</v>
      </c>
      <c r="E116">
        <v>59</v>
      </c>
      <c r="F116" t="s">
        <v>29</v>
      </c>
      <c r="G116" t="s">
        <v>85</v>
      </c>
      <c r="H116" t="s">
        <v>825</v>
      </c>
      <c r="I116" s="2">
        <v>46046</v>
      </c>
      <c r="J116">
        <v>160</v>
      </c>
      <c r="K116" t="s">
        <v>89</v>
      </c>
    </row>
    <row r="117" spans="1:11" x14ac:dyDescent="0.25">
      <c r="A117" t="s">
        <v>860</v>
      </c>
      <c r="B117" t="s">
        <v>793</v>
      </c>
      <c r="C117" s="2">
        <v>46046</v>
      </c>
      <c r="D117" t="s">
        <v>264</v>
      </c>
      <c r="E117">
        <v>93</v>
      </c>
      <c r="F117" t="s">
        <v>29</v>
      </c>
      <c r="G117" t="s">
        <v>85</v>
      </c>
      <c r="H117" t="s">
        <v>826</v>
      </c>
      <c r="I117" s="2">
        <v>46046</v>
      </c>
      <c r="J117">
        <v>153</v>
      </c>
      <c r="K117" t="s">
        <v>89</v>
      </c>
    </row>
    <row r="118" spans="1:11" x14ac:dyDescent="0.25">
      <c r="A118" t="s">
        <v>309</v>
      </c>
      <c r="B118" t="s">
        <v>818</v>
      </c>
      <c r="C118" s="2">
        <v>46046</v>
      </c>
      <c r="D118" t="s">
        <v>310</v>
      </c>
      <c r="E118">
        <v>0</v>
      </c>
      <c r="F118" t="s">
        <v>29</v>
      </c>
      <c r="G118" t="s">
        <v>35</v>
      </c>
      <c r="H118" t="s">
        <v>850</v>
      </c>
      <c r="I118" s="2">
        <v>46046</v>
      </c>
      <c r="J118">
        <v>1</v>
      </c>
      <c r="K118" t="s">
        <v>35</v>
      </c>
    </row>
    <row r="119" spans="1:11" x14ac:dyDescent="0.25">
      <c r="A119" t="s">
        <v>858</v>
      </c>
      <c r="B119" t="s">
        <v>794</v>
      </c>
      <c r="C119" s="2">
        <v>46046</v>
      </c>
      <c r="D119" t="s">
        <v>128</v>
      </c>
      <c r="E119">
        <v>66</v>
      </c>
      <c r="F119" t="s">
        <v>29</v>
      </c>
      <c r="G119" t="s">
        <v>85</v>
      </c>
      <c r="H119" t="s">
        <v>827</v>
      </c>
      <c r="I119" s="2">
        <v>46046</v>
      </c>
      <c r="J119">
        <v>59</v>
      </c>
      <c r="K119" t="s">
        <v>89</v>
      </c>
    </row>
    <row r="120" spans="1:11" x14ac:dyDescent="0.25">
      <c r="A120" t="s">
        <v>858</v>
      </c>
      <c r="B120" t="s">
        <v>797</v>
      </c>
      <c r="C120" s="2">
        <v>46046</v>
      </c>
      <c r="D120" t="s">
        <v>312</v>
      </c>
      <c r="E120">
        <v>59</v>
      </c>
      <c r="F120" t="s">
        <v>29</v>
      </c>
      <c r="G120" t="s">
        <v>85</v>
      </c>
      <c r="H120" t="s">
        <v>824</v>
      </c>
      <c r="I120" s="2">
        <v>46046</v>
      </c>
      <c r="J120">
        <v>70</v>
      </c>
      <c r="K120" t="s">
        <v>89</v>
      </c>
    </row>
    <row r="121" spans="1:11" x14ac:dyDescent="0.25">
      <c r="A121" t="s">
        <v>858</v>
      </c>
      <c r="B121" t="s">
        <v>797</v>
      </c>
      <c r="C121" s="2">
        <v>46047</v>
      </c>
      <c r="D121" t="s">
        <v>312</v>
      </c>
      <c r="E121">
        <v>49</v>
      </c>
      <c r="F121" t="s">
        <v>29</v>
      </c>
      <c r="G121" t="s">
        <v>85</v>
      </c>
      <c r="H121" t="s">
        <v>824</v>
      </c>
      <c r="I121" s="2">
        <v>46047</v>
      </c>
      <c r="J121">
        <v>69</v>
      </c>
      <c r="K121" t="s">
        <v>89</v>
      </c>
    </row>
    <row r="122" spans="1:11" x14ac:dyDescent="0.25">
      <c r="A122" t="s">
        <v>861</v>
      </c>
      <c r="B122" t="s">
        <v>799</v>
      </c>
      <c r="C122" s="2">
        <v>46047</v>
      </c>
      <c r="D122" t="s">
        <v>205</v>
      </c>
      <c r="E122">
        <v>135</v>
      </c>
      <c r="F122" t="s">
        <v>29</v>
      </c>
      <c r="G122" t="s">
        <v>85</v>
      </c>
      <c r="H122" t="s">
        <v>832</v>
      </c>
      <c r="I122" s="2">
        <v>46047</v>
      </c>
      <c r="J122">
        <v>138</v>
      </c>
      <c r="K122" t="s">
        <v>89</v>
      </c>
    </row>
    <row r="123" spans="1:11" x14ac:dyDescent="0.25">
      <c r="A123" t="s">
        <v>859</v>
      </c>
      <c r="B123" t="s">
        <v>801</v>
      </c>
      <c r="C123" s="2">
        <v>46047</v>
      </c>
      <c r="D123" t="s">
        <v>106</v>
      </c>
      <c r="E123">
        <v>60</v>
      </c>
      <c r="F123" t="s">
        <v>29</v>
      </c>
      <c r="G123" t="s">
        <v>85</v>
      </c>
      <c r="H123" t="s">
        <v>833</v>
      </c>
      <c r="I123" s="2">
        <v>46047</v>
      </c>
      <c r="J123">
        <v>145</v>
      </c>
      <c r="K123" t="s">
        <v>89</v>
      </c>
    </row>
    <row r="124" spans="1:11" x14ac:dyDescent="0.25">
      <c r="A124" t="s">
        <v>55</v>
      </c>
      <c r="B124" t="s">
        <v>802</v>
      </c>
      <c r="C124" s="2">
        <v>46047</v>
      </c>
      <c r="D124" t="s">
        <v>95</v>
      </c>
      <c r="E124">
        <v>1</v>
      </c>
      <c r="F124" t="s">
        <v>29</v>
      </c>
      <c r="G124" t="s">
        <v>85</v>
      </c>
      <c r="H124" t="s">
        <v>834</v>
      </c>
      <c r="I124" s="2">
        <v>46047</v>
      </c>
      <c r="J124">
        <v>146</v>
      </c>
      <c r="K124" t="s">
        <v>89</v>
      </c>
    </row>
    <row r="125" spans="1:11" x14ac:dyDescent="0.25">
      <c r="A125" t="s">
        <v>51</v>
      </c>
      <c r="B125" t="s">
        <v>819</v>
      </c>
      <c r="C125" s="2">
        <v>46047</v>
      </c>
      <c r="D125" t="s">
        <v>237</v>
      </c>
      <c r="E125">
        <v>6</v>
      </c>
      <c r="F125" t="s">
        <v>29</v>
      </c>
      <c r="G125" t="s">
        <v>85</v>
      </c>
      <c r="H125" t="s">
        <v>851</v>
      </c>
      <c r="I125" s="2">
        <v>46049</v>
      </c>
      <c r="J125">
        <v>8</v>
      </c>
      <c r="K125" t="s">
        <v>89</v>
      </c>
    </row>
    <row r="126" spans="1:11" x14ac:dyDescent="0.25">
      <c r="A126" t="s">
        <v>55</v>
      </c>
      <c r="B126" t="s">
        <v>803</v>
      </c>
      <c r="C126" s="2">
        <v>46047</v>
      </c>
      <c r="D126" t="s">
        <v>58</v>
      </c>
      <c r="E126">
        <v>32</v>
      </c>
      <c r="F126" t="s">
        <v>29</v>
      </c>
      <c r="G126" t="s">
        <v>85</v>
      </c>
      <c r="H126" t="s">
        <v>835</v>
      </c>
      <c r="I126" s="2">
        <v>46047</v>
      </c>
      <c r="J126">
        <v>1</v>
      </c>
      <c r="K126" t="s">
        <v>89</v>
      </c>
    </row>
    <row r="127" spans="1:11" x14ac:dyDescent="0.25">
      <c r="A127" t="s">
        <v>858</v>
      </c>
      <c r="B127" t="s">
        <v>794</v>
      </c>
      <c r="C127" s="2">
        <v>46047</v>
      </c>
      <c r="D127" t="s">
        <v>128</v>
      </c>
      <c r="E127">
        <v>64</v>
      </c>
      <c r="F127" t="s">
        <v>29</v>
      </c>
      <c r="G127" t="s">
        <v>85</v>
      </c>
      <c r="H127" t="s">
        <v>827</v>
      </c>
      <c r="I127" s="2">
        <v>46047</v>
      </c>
      <c r="J127">
        <v>49</v>
      </c>
      <c r="K127" t="s">
        <v>89</v>
      </c>
    </row>
    <row r="128" spans="1:11" x14ac:dyDescent="0.25">
      <c r="A128" t="s">
        <v>858</v>
      </c>
      <c r="B128" t="s">
        <v>798</v>
      </c>
      <c r="C128" s="2">
        <v>46047</v>
      </c>
      <c r="D128" t="s">
        <v>381</v>
      </c>
      <c r="E128">
        <v>55</v>
      </c>
      <c r="F128" t="s">
        <v>29</v>
      </c>
      <c r="G128" t="s">
        <v>85</v>
      </c>
      <c r="H128" t="s">
        <v>831</v>
      </c>
      <c r="I128" s="2">
        <v>46047</v>
      </c>
      <c r="J128">
        <v>36</v>
      </c>
      <c r="K128" t="s">
        <v>89</v>
      </c>
    </row>
    <row r="129" spans="1:11" x14ac:dyDescent="0.25">
      <c r="A129" t="s">
        <v>451</v>
      </c>
      <c r="B129" t="s">
        <v>820</v>
      </c>
      <c r="C129" s="2">
        <v>46047</v>
      </c>
      <c r="D129" t="s">
        <v>491</v>
      </c>
      <c r="E129">
        <v>1</v>
      </c>
      <c r="F129" t="s">
        <v>29</v>
      </c>
      <c r="G129" t="s">
        <v>85</v>
      </c>
      <c r="H129" t="s">
        <v>852</v>
      </c>
      <c r="I129" s="2">
        <v>46047</v>
      </c>
      <c r="J129">
        <v>44</v>
      </c>
      <c r="K129" t="s">
        <v>89</v>
      </c>
    </row>
    <row r="130" spans="1:11" x14ac:dyDescent="0.25">
      <c r="A130" t="s">
        <v>861</v>
      </c>
      <c r="B130" t="s">
        <v>799</v>
      </c>
      <c r="C130" s="2">
        <v>46048</v>
      </c>
      <c r="D130" t="s">
        <v>205</v>
      </c>
      <c r="E130">
        <v>110</v>
      </c>
      <c r="F130" t="s">
        <v>29</v>
      </c>
      <c r="G130" t="s">
        <v>85</v>
      </c>
      <c r="H130" t="s">
        <v>832</v>
      </c>
      <c r="I130" s="2">
        <v>46048</v>
      </c>
      <c r="J130">
        <v>151</v>
      </c>
      <c r="K130" t="s">
        <v>89</v>
      </c>
    </row>
    <row r="131" spans="1:11" x14ac:dyDescent="0.25">
      <c r="A131" t="s">
        <v>858</v>
      </c>
      <c r="B131" t="s">
        <v>794</v>
      </c>
      <c r="C131" s="2">
        <v>46048</v>
      </c>
      <c r="D131" t="s">
        <v>128</v>
      </c>
      <c r="E131">
        <v>48</v>
      </c>
      <c r="F131" t="s">
        <v>29</v>
      </c>
      <c r="G131" t="s">
        <v>85</v>
      </c>
      <c r="H131" t="s">
        <v>827</v>
      </c>
      <c r="I131" s="2">
        <v>46048</v>
      </c>
      <c r="J131">
        <v>51</v>
      </c>
      <c r="K131" t="s">
        <v>89</v>
      </c>
    </row>
    <row r="132" spans="1:11" x14ac:dyDescent="0.25">
      <c r="A132" t="s">
        <v>858</v>
      </c>
      <c r="B132" t="s">
        <v>791</v>
      </c>
      <c r="C132" s="2">
        <v>46048</v>
      </c>
      <c r="D132" t="s">
        <v>250</v>
      </c>
      <c r="E132">
        <v>51</v>
      </c>
      <c r="F132" t="s">
        <v>29</v>
      </c>
      <c r="G132" t="s">
        <v>85</v>
      </c>
      <c r="H132" t="s">
        <v>824</v>
      </c>
      <c r="I132" s="2">
        <v>46048</v>
      </c>
      <c r="J132">
        <v>71</v>
      </c>
      <c r="K132" t="s">
        <v>89</v>
      </c>
    </row>
    <row r="133" spans="1:11" x14ac:dyDescent="0.25">
      <c r="A133" t="s">
        <v>51</v>
      </c>
      <c r="B133" t="s">
        <v>821</v>
      </c>
      <c r="C133" s="2">
        <v>46048</v>
      </c>
      <c r="D133" t="s">
        <v>277</v>
      </c>
      <c r="E133">
        <v>1</v>
      </c>
      <c r="F133" t="s">
        <v>29</v>
      </c>
      <c r="G133" t="s">
        <v>85</v>
      </c>
      <c r="H133" t="s">
        <v>853</v>
      </c>
      <c r="I133" s="2">
        <v>46048</v>
      </c>
      <c r="J133">
        <v>10</v>
      </c>
      <c r="K133" t="s">
        <v>89</v>
      </c>
    </row>
    <row r="134" spans="1:11" x14ac:dyDescent="0.25">
      <c r="A134" t="s">
        <v>858</v>
      </c>
      <c r="B134" t="s">
        <v>797</v>
      </c>
      <c r="C134" s="2">
        <v>46048</v>
      </c>
      <c r="D134" t="s">
        <v>48</v>
      </c>
      <c r="E134">
        <v>82</v>
      </c>
      <c r="F134" t="s">
        <v>29</v>
      </c>
      <c r="G134" t="s">
        <v>85</v>
      </c>
      <c r="H134" t="s">
        <v>830</v>
      </c>
      <c r="I134" s="2">
        <v>46048</v>
      </c>
      <c r="J134">
        <v>149</v>
      </c>
      <c r="K134" t="s">
        <v>89</v>
      </c>
    </row>
    <row r="135" spans="1:11" x14ac:dyDescent="0.25">
      <c r="A135" t="s">
        <v>859</v>
      </c>
      <c r="B135" t="s">
        <v>792</v>
      </c>
      <c r="C135" s="2">
        <v>46049</v>
      </c>
      <c r="D135" t="s">
        <v>174</v>
      </c>
      <c r="E135">
        <v>61</v>
      </c>
      <c r="F135" t="s">
        <v>29</v>
      </c>
      <c r="G135" t="s">
        <v>85</v>
      </c>
      <c r="H135" t="s">
        <v>825</v>
      </c>
      <c r="I135" s="2">
        <v>46049</v>
      </c>
      <c r="J135">
        <v>174</v>
      </c>
      <c r="K135" t="s">
        <v>89</v>
      </c>
    </row>
    <row r="136" spans="1:11" x14ac:dyDescent="0.25">
      <c r="A136" t="s">
        <v>860</v>
      </c>
      <c r="B136" t="s">
        <v>793</v>
      </c>
      <c r="C136" s="2">
        <v>46049</v>
      </c>
      <c r="D136" t="s">
        <v>264</v>
      </c>
      <c r="E136">
        <v>105</v>
      </c>
      <c r="F136" t="s">
        <v>29</v>
      </c>
      <c r="G136" t="s">
        <v>85</v>
      </c>
      <c r="H136" t="s">
        <v>826</v>
      </c>
      <c r="I136" s="2">
        <v>46049</v>
      </c>
      <c r="J136">
        <v>131</v>
      </c>
      <c r="K136" t="s">
        <v>89</v>
      </c>
    </row>
    <row r="137" spans="1:11" x14ac:dyDescent="0.25">
      <c r="A137" t="s">
        <v>858</v>
      </c>
      <c r="B137" t="s">
        <v>794</v>
      </c>
      <c r="C137" s="2">
        <v>46049</v>
      </c>
      <c r="D137" t="s">
        <v>128</v>
      </c>
      <c r="E137">
        <v>72</v>
      </c>
      <c r="F137" t="s">
        <v>29</v>
      </c>
      <c r="G137" t="s">
        <v>85</v>
      </c>
      <c r="H137" t="s">
        <v>827</v>
      </c>
      <c r="I137" s="2">
        <v>46049</v>
      </c>
      <c r="J137">
        <v>57</v>
      </c>
      <c r="K137" t="s">
        <v>89</v>
      </c>
    </row>
    <row r="138" spans="1:11" x14ac:dyDescent="0.25">
      <c r="A138" t="s">
        <v>858</v>
      </c>
      <c r="B138" t="s">
        <v>800</v>
      </c>
      <c r="C138" s="2">
        <v>46049</v>
      </c>
      <c r="D138" t="s">
        <v>65</v>
      </c>
      <c r="E138">
        <v>66</v>
      </c>
      <c r="F138" t="s">
        <v>29</v>
      </c>
      <c r="G138" t="s">
        <v>85</v>
      </c>
      <c r="H138" t="s">
        <v>824</v>
      </c>
      <c r="I138" s="2">
        <v>46049</v>
      </c>
      <c r="J138">
        <v>159</v>
      </c>
      <c r="K138" t="s">
        <v>89</v>
      </c>
    </row>
    <row r="139" spans="1:11" x14ac:dyDescent="0.25">
      <c r="A139" t="s">
        <v>858</v>
      </c>
      <c r="B139" t="s">
        <v>798</v>
      </c>
      <c r="C139" s="2">
        <v>46049</v>
      </c>
      <c r="D139" t="s">
        <v>145</v>
      </c>
      <c r="E139">
        <v>55</v>
      </c>
      <c r="F139" t="s">
        <v>29</v>
      </c>
      <c r="G139" t="s">
        <v>85</v>
      </c>
      <c r="H139" t="s">
        <v>831</v>
      </c>
      <c r="I139" s="2">
        <v>46049</v>
      </c>
      <c r="J139">
        <v>21</v>
      </c>
      <c r="K139" t="s">
        <v>89</v>
      </c>
    </row>
    <row r="140" spans="1:11" x14ac:dyDescent="0.25">
      <c r="A140" t="s">
        <v>858</v>
      </c>
      <c r="B140" t="s">
        <v>798</v>
      </c>
      <c r="C140" s="2">
        <v>46050</v>
      </c>
      <c r="D140" t="s">
        <v>145</v>
      </c>
      <c r="E140">
        <v>35</v>
      </c>
      <c r="F140" t="s">
        <v>29</v>
      </c>
      <c r="G140" t="s">
        <v>85</v>
      </c>
      <c r="H140" t="s">
        <v>831</v>
      </c>
      <c r="I140" s="2">
        <v>46050</v>
      </c>
      <c r="J140">
        <v>16</v>
      </c>
      <c r="K140" t="s">
        <v>89</v>
      </c>
    </row>
    <row r="141" spans="1:11" x14ac:dyDescent="0.25">
      <c r="A141" t="s">
        <v>861</v>
      </c>
      <c r="B141" t="s">
        <v>799</v>
      </c>
      <c r="C141" s="2">
        <v>46050</v>
      </c>
      <c r="D141" t="s">
        <v>205</v>
      </c>
      <c r="E141">
        <v>102</v>
      </c>
      <c r="F141" t="s">
        <v>29</v>
      </c>
      <c r="G141" t="s">
        <v>85</v>
      </c>
      <c r="H141" t="s">
        <v>832</v>
      </c>
      <c r="I141" s="2">
        <v>46050</v>
      </c>
      <c r="J141">
        <v>150</v>
      </c>
      <c r="K141" t="s">
        <v>89</v>
      </c>
    </row>
    <row r="142" spans="1:11" x14ac:dyDescent="0.25">
      <c r="A142" t="s">
        <v>858</v>
      </c>
      <c r="B142" t="s">
        <v>794</v>
      </c>
      <c r="C142" s="2">
        <v>46050</v>
      </c>
      <c r="D142" t="s">
        <v>128</v>
      </c>
      <c r="E142">
        <v>70</v>
      </c>
      <c r="F142" t="s">
        <v>29</v>
      </c>
      <c r="G142" t="s">
        <v>85</v>
      </c>
      <c r="H142" t="s">
        <v>827</v>
      </c>
      <c r="I142" s="2">
        <v>46050</v>
      </c>
      <c r="J142">
        <v>52</v>
      </c>
      <c r="K142" t="s">
        <v>89</v>
      </c>
    </row>
    <row r="143" spans="1:11" x14ac:dyDescent="0.25">
      <c r="A143" t="s">
        <v>858</v>
      </c>
      <c r="B143" t="s">
        <v>797</v>
      </c>
      <c r="C143" s="2">
        <v>46050</v>
      </c>
      <c r="D143" t="s">
        <v>312</v>
      </c>
      <c r="E143">
        <v>46</v>
      </c>
      <c r="F143" t="s">
        <v>29</v>
      </c>
      <c r="G143" t="s">
        <v>85</v>
      </c>
      <c r="H143" t="s">
        <v>824</v>
      </c>
      <c r="I143" s="2">
        <v>46050</v>
      </c>
      <c r="J143">
        <v>70</v>
      </c>
      <c r="K143" t="s">
        <v>89</v>
      </c>
    </row>
    <row r="144" spans="1:11" x14ac:dyDescent="0.25">
      <c r="A144" t="s">
        <v>55</v>
      </c>
      <c r="B144" t="s">
        <v>802</v>
      </c>
      <c r="C144" s="2">
        <v>46050</v>
      </c>
      <c r="D144" t="s">
        <v>95</v>
      </c>
      <c r="E144">
        <v>1</v>
      </c>
      <c r="F144" t="s">
        <v>29</v>
      </c>
      <c r="G144" t="s">
        <v>85</v>
      </c>
      <c r="H144" t="s">
        <v>834</v>
      </c>
      <c r="I144" s="2">
        <v>46050</v>
      </c>
      <c r="J144">
        <v>153</v>
      </c>
      <c r="K144" t="s">
        <v>89</v>
      </c>
    </row>
    <row r="145" spans="1:11" x14ac:dyDescent="0.25">
      <c r="A145" t="s">
        <v>55</v>
      </c>
      <c r="B145" t="s">
        <v>803</v>
      </c>
      <c r="C145" s="2">
        <v>46050</v>
      </c>
      <c r="D145" t="s">
        <v>58</v>
      </c>
      <c r="E145">
        <v>42</v>
      </c>
      <c r="F145" t="s">
        <v>29</v>
      </c>
      <c r="G145" t="s">
        <v>85</v>
      </c>
      <c r="H145" t="s">
        <v>835</v>
      </c>
      <c r="I145" s="2">
        <v>46050</v>
      </c>
      <c r="J145">
        <v>1</v>
      </c>
      <c r="K145" t="s">
        <v>89</v>
      </c>
    </row>
    <row r="146" spans="1:11" x14ac:dyDescent="0.25">
      <c r="A146" t="s">
        <v>858</v>
      </c>
      <c r="B146" t="s">
        <v>791</v>
      </c>
      <c r="C146" s="2">
        <v>46051</v>
      </c>
      <c r="D146" t="s">
        <v>250</v>
      </c>
      <c r="E146">
        <v>44</v>
      </c>
      <c r="F146" t="s">
        <v>29</v>
      </c>
      <c r="G146" t="s">
        <v>85</v>
      </c>
      <c r="H146" t="s">
        <v>824</v>
      </c>
      <c r="I146" s="2">
        <v>46051</v>
      </c>
      <c r="J146">
        <v>72</v>
      </c>
      <c r="K146" t="s">
        <v>89</v>
      </c>
    </row>
    <row r="147" spans="1:11" x14ac:dyDescent="0.25">
      <c r="A147" t="s">
        <v>860</v>
      </c>
      <c r="B147" t="s">
        <v>793</v>
      </c>
      <c r="C147" s="2">
        <v>46051</v>
      </c>
      <c r="D147" t="s">
        <v>264</v>
      </c>
      <c r="E147">
        <v>120</v>
      </c>
      <c r="F147" t="s">
        <v>29</v>
      </c>
      <c r="G147" t="s">
        <v>85</v>
      </c>
      <c r="H147" t="s">
        <v>826</v>
      </c>
      <c r="I147" s="2">
        <v>46051</v>
      </c>
      <c r="J147">
        <v>154</v>
      </c>
      <c r="K147" t="s">
        <v>89</v>
      </c>
    </row>
    <row r="148" spans="1:11" x14ac:dyDescent="0.25">
      <c r="A148" t="s">
        <v>858</v>
      </c>
      <c r="B148" t="s">
        <v>797</v>
      </c>
      <c r="C148" s="2">
        <v>46051</v>
      </c>
      <c r="D148" t="s">
        <v>48</v>
      </c>
      <c r="E148">
        <v>70</v>
      </c>
      <c r="F148" t="s">
        <v>29</v>
      </c>
      <c r="G148" t="s">
        <v>85</v>
      </c>
      <c r="H148" t="s">
        <v>830</v>
      </c>
      <c r="I148" s="2">
        <v>46051</v>
      </c>
      <c r="J148">
        <v>169</v>
      </c>
      <c r="K148" t="s">
        <v>89</v>
      </c>
    </row>
    <row r="149" spans="1:11" x14ac:dyDescent="0.25">
      <c r="A149" t="s">
        <v>858</v>
      </c>
      <c r="B149" t="s">
        <v>794</v>
      </c>
      <c r="C149" s="2">
        <v>46051</v>
      </c>
      <c r="D149" t="s">
        <v>128</v>
      </c>
      <c r="E149">
        <v>56</v>
      </c>
      <c r="F149" t="s">
        <v>29</v>
      </c>
      <c r="G149" t="s">
        <v>85</v>
      </c>
      <c r="H149" t="s">
        <v>827</v>
      </c>
      <c r="I149" s="2">
        <v>46051</v>
      </c>
      <c r="J149">
        <v>66</v>
      </c>
      <c r="K149" t="s">
        <v>89</v>
      </c>
    </row>
    <row r="150" spans="1:11" x14ac:dyDescent="0.25">
      <c r="A150" t="s">
        <v>51</v>
      </c>
      <c r="B150" t="s">
        <v>822</v>
      </c>
      <c r="C150" s="2">
        <v>46052</v>
      </c>
      <c r="D150" t="s">
        <v>117</v>
      </c>
      <c r="E150">
        <v>1</v>
      </c>
      <c r="F150" t="s">
        <v>29</v>
      </c>
      <c r="G150" t="s">
        <v>85</v>
      </c>
      <c r="H150" t="s">
        <v>854</v>
      </c>
      <c r="I150" s="2">
        <v>46052</v>
      </c>
      <c r="J150">
        <v>12</v>
      </c>
      <c r="K150" t="s">
        <v>89</v>
      </c>
    </row>
    <row r="151" spans="1:11" x14ac:dyDescent="0.25">
      <c r="A151" t="s">
        <v>862</v>
      </c>
      <c r="B151" t="s">
        <v>823</v>
      </c>
      <c r="C151" s="2">
        <v>46052</v>
      </c>
      <c r="D151" t="s">
        <v>140</v>
      </c>
      <c r="E151">
        <v>1</v>
      </c>
      <c r="F151" t="s">
        <v>29</v>
      </c>
      <c r="G151" t="s">
        <v>85</v>
      </c>
      <c r="H151" t="s">
        <v>823</v>
      </c>
      <c r="I151" s="2">
        <v>46052</v>
      </c>
      <c r="J151">
        <v>1</v>
      </c>
      <c r="K151" t="s">
        <v>89</v>
      </c>
    </row>
    <row r="152" spans="1:11" x14ac:dyDescent="0.25">
      <c r="A152" t="s">
        <v>858</v>
      </c>
      <c r="B152" t="s">
        <v>798</v>
      </c>
      <c r="C152" s="2">
        <v>46052</v>
      </c>
      <c r="D152" t="s">
        <v>164</v>
      </c>
      <c r="E152">
        <v>37</v>
      </c>
      <c r="F152" t="s">
        <v>29</v>
      </c>
      <c r="G152" t="s">
        <v>85</v>
      </c>
      <c r="H152" t="s">
        <v>831</v>
      </c>
      <c r="I152" s="2">
        <v>46052</v>
      </c>
      <c r="J152">
        <v>33</v>
      </c>
      <c r="K152" t="s">
        <v>89</v>
      </c>
    </row>
    <row r="153" spans="1:11" x14ac:dyDescent="0.25">
      <c r="A153" t="s">
        <v>861</v>
      </c>
      <c r="B153" t="s">
        <v>799</v>
      </c>
      <c r="C153" s="2">
        <v>46052</v>
      </c>
      <c r="D153" t="s">
        <v>205</v>
      </c>
      <c r="E153">
        <v>82</v>
      </c>
      <c r="F153" t="s">
        <v>29</v>
      </c>
      <c r="G153" t="s">
        <v>85</v>
      </c>
      <c r="H153" t="s">
        <v>832</v>
      </c>
      <c r="I153" s="2">
        <v>46052</v>
      </c>
      <c r="J153">
        <v>149</v>
      </c>
      <c r="K153" t="s">
        <v>89</v>
      </c>
    </row>
    <row r="154" spans="1:11" x14ac:dyDescent="0.25">
      <c r="A154" t="s">
        <v>858</v>
      </c>
      <c r="B154" t="s">
        <v>794</v>
      </c>
      <c r="C154" s="2">
        <v>46052</v>
      </c>
      <c r="D154" t="s">
        <v>128</v>
      </c>
      <c r="E154">
        <v>70</v>
      </c>
      <c r="F154" t="s">
        <v>29</v>
      </c>
      <c r="G154" t="s">
        <v>85</v>
      </c>
      <c r="H154" t="s">
        <v>827</v>
      </c>
      <c r="I154" s="2">
        <v>46052</v>
      </c>
      <c r="J154">
        <v>52</v>
      </c>
      <c r="K154" t="s">
        <v>89</v>
      </c>
    </row>
    <row r="155" spans="1:11" x14ac:dyDescent="0.25">
      <c r="A155" t="s">
        <v>858</v>
      </c>
      <c r="B155" t="s">
        <v>800</v>
      </c>
      <c r="C155" s="2">
        <v>46052</v>
      </c>
      <c r="D155" t="s">
        <v>65</v>
      </c>
      <c r="E155">
        <v>70</v>
      </c>
      <c r="F155" t="s">
        <v>29</v>
      </c>
      <c r="G155" t="s">
        <v>85</v>
      </c>
      <c r="H155" t="s">
        <v>824</v>
      </c>
      <c r="I155" s="2">
        <v>46052</v>
      </c>
      <c r="J155">
        <v>167</v>
      </c>
      <c r="K155" t="s">
        <v>89</v>
      </c>
    </row>
    <row r="156" spans="1:11" x14ac:dyDescent="0.25">
      <c r="A156" t="s">
        <v>858</v>
      </c>
      <c r="B156" t="s">
        <v>794</v>
      </c>
      <c r="C156" s="2">
        <v>46053</v>
      </c>
      <c r="D156" t="s">
        <v>128</v>
      </c>
      <c r="E156">
        <v>72</v>
      </c>
      <c r="F156" t="s">
        <v>29</v>
      </c>
      <c r="G156" t="s">
        <v>85</v>
      </c>
      <c r="H156" t="s">
        <v>827</v>
      </c>
      <c r="I156" s="2">
        <v>46053</v>
      </c>
      <c r="J156">
        <v>60</v>
      </c>
      <c r="K156" t="s">
        <v>89</v>
      </c>
    </row>
    <row r="157" spans="1:11" x14ac:dyDescent="0.25">
      <c r="A157" t="s">
        <v>862</v>
      </c>
      <c r="B157" t="s">
        <v>823</v>
      </c>
      <c r="C157" s="2">
        <v>46053</v>
      </c>
      <c r="D157" t="s">
        <v>140</v>
      </c>
      <c r="E157">
        <v>1</v>
      </c>
      <c r="F157" t="s">
        <v>29</v>
      </c>
      <c r="G157" t="s">
        <v>85</v>
      </c>
      <c r="H157" t="s">
        <v>823</v>
      </c>
      <c r="I157" s="2">
        <v>46053</v>
      </c>
      <c r="J157">
        <v>1</v>
      </c>
      <c r="K157" t="s">
        <v>89</v>
      </c>
    </row>
    <row r="158" spans="1:11" x14ac:dyDescent="0.25">
      <c r="A158" t="s">
        <v>858</v>
      </c>
      <c r="B158" t="s">
        <v>798</v>
      </c>
      <c r="C158" s="2">
        <v>46053</v>
      </c>
      <c r="D158" t="s">
        <v>145</v>
      </c>
      <c r="E158">
        <v>47</v>
      </c>
      <c r="F158" t="s">
        <v>29</v>
      </c>
      <c r="G158" t="s">
        <v>85</v>
      </c>
      <c r="H158" t="s">
        <v>831</v>
      </c>
      <c r="I158" s="2">
        <v>46053</v>
      </c>
      <c r="J158">
        <v>32</v>
      </c>
      <c r="K158" t="s">
        <v>89</v>
      </c>
    </row>
    <row r="159" spans="1:11" x14ac:dyDescent="0.25">
      <c r="A159" t="s">
        <v>859</v>
      </c>
      <c r="B159" t="s">
        <v>792</v>
      </c>
      <c r="C159" s="2">
        <v>46053</v>
      </c>
      <c r="D159" t="s">
        <v>174</v>
      </c>
      <c r="E159">
        <v>34</v>
      </c>
      <c r="F159" t="s">
        <v>29</v>
      </c>
      <c r="G159" t="s">
        <v>85</v>
      </c>
      <c r="H159" t="s">
        <v>825</v>
      </c>
      <c r="I159" s="2">
        <v>46053</v>
      </c>
      <c r="J159">
        <v>176</v>
      </c>
      <c r="K159" t="s">
        <v>89</v>
      </c>
    </row>
    <row r="160" spans="1:11" x14ac:dyDescent="0.25">
      <c r="A160" t="s">
        <v>860</v>
      </c>
      <c r="B160" t="s">
        <v>793</v>
      </c>
      <c r="C160" s="2">
        <v>46053</v>
      </c>
      <c r="D160" t="s">
        <v>264</v>
      </c>
      <c r="E160">
        <v>91</v>
      </c>
      <c r="F160" t="s">
        <v>29</v>
      </c>
      <c r="G160" t="s">
        <v>85</v>
      </c>
      <c r="H160" t="s">
        <v>826</v>
      </c>
      <c r="I160" s="2">
        <v>46053</v>
      </c>
      <c r="J160">
        <v>150</v>
      </c>
      <c r="K160" t="s">
        <v>89</v>
      </c>
    </row>
    <row r="161" spans="1:11" x14ac:dyDescent="0.25">
      <c r="A161" t="s">
        <v>858</v>
      </c>
      <c r="B161" t="s">
        <v>797</v>
      </c>
      <c r="C161" s="2">
        <v>46053</v>
      </c>
      <c r="D161" t="s">
        <v>312</v>
      </c>
      <c r="E161">
        <v>55</v>
      </c>
      <c r="F161" t="s">
        <v>29</v>
      </c>
      <c r="G161" t="s">
        <v>85</v>
      </c>
      <c r="H161" t="s">
        <v>824</v>
      </c>
      <c r="I161" s="2">
        <v>46053</v>
      </c>
      <c r="J161">
        <v>72</v>
      </c>
      <c r="K161" t="s">
        <v>89</v>
      </c>
    </row>
    <row r="162" spans="1:11" x14ac:dyDescent="0.25">
      <c r="C162" s="2"/>
      <c r="I162" s="2"/>
      <c r="K162">
        <f>COUNTA(FltLoadJanuary2026[[#Headers],[#Data],[Dep Remarks]])</f>
        <v>161</v>
      </c>
    </row>
  </sheetData>
  <sheetProtection sheet="1" selectLockedCells="1" sort="0" selectUnlockedCell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1BC68-D6A6-4DD1-9681-45BE3CAAF449}">
  <sheetPr>
    <tabColor rgb="FF92D050"/>
  </sheetPr>
  <dimension ref="A1:D105"/>
  <sheetViews>
    <sheetView topLeftCell="A25" workbookViewId="0">
      <selection activeCell="C29" sqref="C29"/>
    </sheetView>
  </sheetViews>
  <sheetFormatPr defaultRowHeight="15" x14ac:dyDescent="0.25"/>
  <cols>
    <col min="1" max="1" width="18.140625" bestFit="1" customWidth="1"/>
    <col min="2" max="2" width="11.7109375" bestFit="1" customWidth="1"/>
    <col min="3" max="3" width="17.28515625" bestFit="1" customWidth="1"/>
    <col min="4" max="4" width="17" bestFit="1" customWidth="1"/>
  </cols>
  <sheetData>
    <row r="1" spans="1:3" x14ac:dyDescent="0.25">
      <c r="A1" t="s">
        <v>865</v>
      </c>
      <c r="B1" t="s">
        <v>863</v>
      </c>
      <c r="C1" t="s">
        <v>864</v>
      </c>
    </row>
    <row r="2" spans="1:3" x14ac:dyDescent="0.25">
      <c r="A2" s="6">
        <v>25342</v>
      </c>
      <c r="B2" s="5">
        <v>11611</v>
      </c>
      <c r="C2" s="5">
        <v>13731</v>
      </c>
    </row>
    <row r="5" spans="1:3" x14ac:dyDescent="0.25">
      <c r="A5" s="3" t="s">
        <v>867</v>
      </c>
      <c r="B5" t="s">
        <v>868</v>
      </c>
      <c r="C5" t="s">
        <v>866</v>
      </c>
    </row>
    <row r="6" spans="1:3" x14ac:dyDescent="0.25">
      <c r="A6" s="4">
        <v>1</v>
      </c>
      <c r="B6" s="6">
        <v>2639</v>
      </c>
      <c r="C6" s="6">
        <v>16</v>
      </c>
    </row>
    <row r="7" spans="1:3" x14ac:dyDescent="0.25">
      <c r="A7" s="4">
        <v>2</v>
      </c>
      <c r="B7" s="6">
        <v>5696</v>
      </c>
      <c r="C7" s="6">
        <v>32</v>
      </c>
    </row>
    <row r="8" spans="1:3" x14ac:dyDescent="0.25">
      <c r="A8" s="4">
        <v>3</v>
      </c>
      <c r="B8" s="6">
        <v>5798</v>
      </c>
      <c r="C8" s="6">
        <v>34</v>
      </c>
    </row>
    <row r="9" spans="1:3" x14ac:dyDescent="0.25">
      <c r="A9" s="4">
        <v>4</v>
      </c>
      <c r="B9" s="6">
        <v>5590</v>
      </c>
      <c r="C9" s="6">
        <v>37</v>
      </c>
    </row>
    <row r="10" spans="1:3" x14ac:dyDescent="0.25">
      <c r="A10" s="4">
        <v>5</v>
      </c>
      <c r="B10" s="6">
        <v>5619</v>
      </c>
      <c r="C10" s="6">
        <v>41</v>
      </c>
    </row>
    <row r="11" spans="1:3" x14ac:dyDescent="0.25">
      <c r="A11" s="4" t="s">
        <v>856</v>
      </c>
      <c r="B11" s="6">
        <v>25342</v>
      </c>
      <c r="C11" s="6">
        <v>160</v>
      </c>
    </row>
    <row r="13" spans="1:3" x14ac:dyDescent="0.25">
      <c r="A13" s="3" t="s">
        <v>869</v>
      </c>
      <c r="B13" t="s">
        <v>870</v>
      </c>
    </row>
    <row r="14" spans="1:3" x14ac:dyDescent="0.25">
      <c r="A14" s="4" t="s">
        <v>700</v>
      </c>
      <c r="B14" s="6">
        <v>1</v>
      </c>
    </row>
    <row r="15" spans="1:3" x14ac:dyDescent="0.25">
      <c r="A15" s="4" t="s">
        <v>309</v>
      </c>
      <c r="B15" s="6">
        <v>2</v>
      </c>
    </row>
    <row r="16" spans="1:3" x14ac:dyDescent="0.25">
      <c r="A16" s="4" t="s">
        <v>862</v>
      </c>
      <c r="B16" s="6">
        <v>4</v>
      </c>
    </row>
    <row r="17" spans="1:2" x14ac:dyDescent="0.25">
      <c r="A17" s="4" t="s">
        <v>451</v>
      </c>
      <c r="B17" s="6">
        <v>92</v>
      </c>
    </row>
    <row r="18" spans="1:2" x14ac:dyDescent="0.25">
      <c r="A18" s="4" t="s">
        <v>51</v>
      </c>
      <c r="B18" s="6">
        <v>180</v>
      </c>
    </row>
    <row r="19" spans="1:2" x14ac:dyDescent="0.25">
      <c r="A19" s="4" t="s">
        <v>55</v>
      </c>
      <c r="B19" s="6">
        <v>580</v>
      </c>
    </row>
    <row r="20" spans="1:2" x14ac:dyDescent="0.25">
      <c r="A20" s="4" t="s">
        <v>859</v>
      </c>
      <c r="B20" s="6">
        <v>3278</v>
      </c>
    </row>
    <row r="21" spans="1:2" x14ac:dyDescent="0.25">
      <c r="A21" s="4" t="s">
        <v>860</v>
      </c>
      <c r="B21" s="6">
        <v>4006</v>
      </c>
    </row>
    <row r="22" spans="1:2" x14ac:dyDescent="0.25">
      <c r="A22" s="4" t="s">
        <v>861</v>
      </c>
      <c r="B22" s="6">
        <v>5039</v>
      </c>
    </row>
    <row r="23" spans="1:2" x14ac:dyDescent="0.25">
      <c r="A23" s="4" t="s">
        <v>858</v>
      </c>
      <c r="B23" s="6">
        <v>12160</v>
      </c>
    </row>
    <row r="24" spans="1:2" x14ac:dyDescent="0.25">
      <c r="A24" s="4" t="s">
        <v>856</v>
      </c>
      <c r="B24" s="6">
        <v>25342</v>
      </c>
    </row>
    <row r="27" spans="1:2" x14ac:dyDescent="0.25">
      <c r="A27" s="3" t="s">
        <v>871</v>
      </c>
      <c r="B27" t="s">
        <v>857</v>
      </c>
    </row>
    <row r="28" spans="1:2" x14ac:dyDescent="0.25">
      <c r="A28" s="4" t="s">
        <v>794</v>
      </c>
      <c r="B28" s="6">
        <v>2435</v>
      </c>
    </row>
    <row r="29" spans="1:2" x14ac:dyDescent="0.25">
      <c r="A29" s="4" t="s">
        <v>799</v>
      </c>
      <c r="B29" s="6">
        <v>2363</v>
      </c>
    </row>
    <row r="30" spans="1:2" x14ac:dyDescent="0.25">
      <c r="A30" s="4" t="s">
        <v>793</v>
      </c>
      <c r="B30" s="6">
        <v>1820</v>
      </c>
    </row>
    <row r="31" spans="1:2" x14ac:dyDescent="0.25">
      <c r="A31" s="4" t="s">
        <v>797</v>
      </c>
      <c r="B31" s="6">
        <v>1429</v>
      </c>
    </row>
    <row r="32" spans="1:2" x14ac:dyDescent="0.25">
      <c r="A32" s="4" t="s">
        <v>792</v>
      </c>
      <c r="B32" s="6">
        <v>1022</v>
      </c>
    </row>
    <row r="33" spans="1:2" x14ac:dyDescent="0.25">
      <c r="A33" s="4" t="s">
        <v>800</v>
      </c>
      <c r="B33" s="6">
        <v>977</v>
      </c>
    </row>
    <row r="34" spans="1:2" x14ac:dyDescent="0.25">
      <c r="A34" s="4" t="s">
        <v>798</v>
      </c>
      <c r="B34" s="6">
        <v>529</v>
      </c>
    </row>
    <row r="35" spans="1:2" x14ac:dyDescent="0.25">
      <c r="A35" s="4" t="s">
        <v>791</v>
      </c>
      <c r="B35" s="6">
        <v>464</v>
      </c>
    </row>
    <row r="36" spans="1:2" x14ac:dyDescent="0.25">
      <c r="A36" s="4" t="s">
        <v>801</v>
      </c>
      <c r="B36" s="6">
        <v>336</v>
      </c>
    </row>
    <row r="37" spans="1:2" x14ac:dyDescent="0.25">
      <c r="A37" s="4" t="s">
        <v>803</v>
      </c>
      <c r="B37" s="6">
        <v>120</v>
      </c>
    </row>
    <row r="38" spans="1:2" x14ac:dyDescent="0.25">
      <c r="A38" s="4" t="s">
        <v>856</v>
      </c>
      <c r="B38" s="6">
        <v>11495</v>
      </c>
    </row>
    <row r="63" spans="1:2" x14ac:dyDescent="0.25">
      <c r="A63" s="3" t="s">
        <v>855</v>
      </c>
      <c r="B63" t="s">
        <v>864</v>
      </c>
    </row>
    <row r="64" spans="1:2" x14ac:dyDescent="0.25">
      <c r="A64" s="4" t="s">
        <v>832</v>
      </c>
      <c r="B64" s="5">
        <v>2676</v>
      </c>
    </row>
    <row r="65" spans="1:4" x14ac:dyDescent="0.25">
      <c r="A65" s="4" t="s">
        <v>824</v>
      </c>
      <c r="B65" s="5">
        <v>2446</v>
      </c>
    </row>
    <row r="66" spans="1:4" x14ac:dyDescent="0.25">
      <c r="A66" s="4" t="s">
        <v>826</v>
      </c>
      <c r="B66" s="5">
        <v>2186</v>
      </c>
    </row>
    <row r="67" spans="1:4" x14ac:dyDescent="0.25">
      <c r="A67" s="4" t="s">
        <v>827</v>
      </c>
      <c r="B67" s="5">
        <v>2114</v>
      </c>
    </row>
    <row r="68" spans="1:4" x14ac:dyDescent="0.25">
      <c r="A68" s="4" t="s">
        <v>825</v>
      </c>
      <c r="B68" s="5">
        <v>1409</v>
      </c>
    </row>
    <row r="69" spans="1:4" x14ac:dyDescent="0.25">
      <c r="A69" s="4" t="s">
        <v>830</v>
      </c>
      <c r="B69" s="5">
        <v>1325</v>
      </c>
    </row>
    <row r="70" spans="1:4" x14ac:dyDescent="0.25">
      <c r="A70" s="4" t="s">
        <v>833</v>
      </c>
      <c r="B70" s="5">
        <v>511</v>
      </c>
    </row>
    <row r="71" spans="1:4" x14ac:dyDescent="0.25">
      <c r="A71" s="4" t="s">
        <v>834</v>
      </c>
      <c r="B71" s="5">
        <v>452</v>
      </c>
    </row>
    <row r="72" spans="1:4" x14ac:dyDescent="0.25">
      <c r="A72" s="4" t="s">
        <v>831</v>
      </c>
      <c r="B72" s="5">
        <v>441</v>
      </c>
    </row>
    <row r="73" spans="1:4" x14ac:dyDescent="0.25">
      <c r="A73" s="4" t="s">
        <v>852</v>
      </c>
      <c r="B73" s="5">
        <v>44</v>
      </c>
    </row>
    <row r="74" spans="1:4" x14ac:dyDescent="0.25">
      <c r="A74" s="4" t="s">
        <v>856</v>
      </c>
      <c r="B74" s="5">
        <v>13604</v>
      </c>
    </row>
    <row r="79" spans="1:4" x14ac:dyDescent="0.25">
      <c r="C79" s="3" t="s">
        <v>874</v>
      </c>
      <c r="D79" t="s">
        <v>875</v>
      </c>
    </row>
    <row r="80" spans="1:4" x14ac:dyDescent="0.25">
      <c r="C80" s="4" t="s">
        <v>861</v>
      </c>
      <c r="D80" s="7">
        <v>0.19883987057059427</v>
      </c>
    </row>
    <row r="81" spans="3:4" x14ac:dyDescent="0.25">
      <c r="C81" s="4" t="s">
        <v>859</v>
      </c>
      <c r="D81" s="7">
        <v>0.12935048536027149</v>
      </c>
    </row>
    <row r="82" spans="3:4" x14ac:dyDescent="0.25">
      <c r="C82" s="4" t="s">
        <v>309</v>
      </c>
      <c r="D82" s="7">
        <v>7.8920369347328543E-5</v>
      </c>
    </row>
    <row r="83" spans="3:4" x14ac:dyDescent="0.25">
      <c r="C83" s="4" t="s">
        <v>51</v>
      </c>
      <c r="D83" s="7">
        <v>7.102833241259569E-3</v>
      </c>
    </row>
    <row r="84" spans="3:4" x14ac:dyDescent="0.25">
      <c r="C84" s="4" t="s">
        <v>451</v>
      </c>
      <c r="D84" s="7">
        <v>3.6303369899771129E-3</v>
      </c>
    </row>
    <row r="85" spans="3:4" x14ac:dyDescent="0.25">
      <c r="C85" s="4" t="s">
        <v>858</v>
      </c>
      <c r="D85" s="7">
        <v>0.47983584563175757</v>
      </c>
    </row>
    <row r="86" spans="3:4" x14ac:dyDescent="0.25">
      <c r="C86" s="4" t="s">
        <v>55</v>
      </c>
      <c r="D86" s="7">
        <v>2.2886907110725278E-2</v>
      </c>
    </row>
    <row r="87" spans="3:4" x14ac:dyDescent="0.25">
      <c r="C87" s="4" t="s">
        <v>860</v>
      </c>
      <c r="D87" s="7">
        <v>0.15807749980269908</v>
      </c>
    </row>
    <row r="88" spans="3:4" x14ac:dyDescent="0.25">
      <c r="C88" s="4" t="s">
        <v>700</v>
      </c>
      <c r="D88" s="7">
        <v>3.9460184673664271E-5</v>
      </c>
    </row>
    <row r="89" spans="3:4" x14ac:dyDescent="0.25">
      <c r="C89" s="4" t="s">
        <v>862</v>
      </c>
      <c r="D89" s="7">
        <v>1.5784073869465709E-4</v>
      </c>
    </row>
    <row r="90" spans="3:4" x14ac:dyDescent="0.25">
      <c r="C90" s="4" t="s">
        <v>856</v>
      </c>
      <c r="D90" s="7">
        <v>1</v>
      </c>
    </row>
    <row r="97" spans="1:3" x14ac:dyDescent="0.25">
      <c r="A97" s="3" t="s">
        <v>8</v>
      </c>
      <c r="B97" t="s" vm="1">
        <v>873</v>
      </c>
    </row>
    <row r="99" spans="1:3" x14ac:dyDescent="0.25">
      <c r="A99" s="3" t="s">
        <v>872</v>
      </c>
      <c r="B99" t="s">
        <v>863</v>
      </c>
      <c r="C99" t="s">
        <v>864</v>
      </c>
    </row>
    <row r="100" spans="1:3" x14ac:dyDescent="0.25">
      <c r="A100" s="4">
        <v>1</v>
      </c>
      <c r="B100" s="5">
        <v>1424</v>
      </c>
      <c r="C100" s="5">
        <v>1215</v>
      </c>
    </row>
    <row r="101" spans="1:3" x14ac:dyDescent="0.25">
      <c r="A101" s="4">
        <v>2</v>
      </c>
      <c r="B101" s="5">
        <v>3074</v>
      </c>
      <c r="C101" s="5">
        <v>2622</v>
      </c>
    </row>
    <row r="102" spans="1:3" x14ac:dyDescent="0.25">
      <c r="A102" s="4">
        <v>3</v>
      </c>
      <c r="B102" s="5">
        <v>2730</v>
      </c>
      <c r="C102" s="5">
        <v>3068</v>
      </c>
    </row>
    <row r="103" spans="1:3" x14ac:dyDescent="0.25">
      <c r="A103" s="4">
        <v>4</v>
      </c>
      <c r="B103" s="5">
        <v>2182</v>
      </c>
      <c r="C103" s="5">
        <v>3408</v>
      </c>
    </row>
    <row r="104" spans="1:3" x14ac:dyDescent="0.25">
      <c r="A104" s="4">
        <v>5</v>
      </c>
      <c r="B104" s="5">
        <v>2201</v>
      </c>
      <c r="C104" s="5">
        <v>3418</v>
      </c>
    </row>
    <row r="105" spans="1:3" x14ac:dyDescent="0.25">
      <c r="A105" s="4" t="s">
        <v>856</v>
      </c>
      <c r="B105" s="5">
        <v>11611</v>
      </c>
      <c r="C105" s="5">
        <v>13731</v>
      </c>
    </row>
  </sheetData>
  <sheetProtection algorithmName="SHA-512" hashValue="DZVt3TkmhdoRobycdFpMULyVZfx5EVtzhgLCfak8EbVzsA9zOOFlW2pq8pf/C0dppelNZ9scY2on3KpTXUIOeQ==" saltValue="gbcaY9mXcESTy2nntGBoRw==" spinCount="100000" sheet="1" objects="1" scenarios="1"/>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9186D8-27D8-464F-A54D-C5B6B8772F97}">
  <sheetPr>
    <tabColor rgb="FF7030A0"/>
  </sheetPr>
  <dimension ref="A1:A5"/>
  <sheetViews>
    <sheetView showGridLines="0" showRowColHeaders="0" tabSelected="1" zoomScale="80" zoomScaleNormal="80" workbookViewId="0">
      <selection activeCell="AD13" sqref="AD13"/>
    </sheetView>
  </sheetViews>
  <sheetFormatPr defaultRowHeight="15" x14ac:dyDescent="0.25"/>
  <cols>
    <col min="1" max="16384" width="9.140625" style="8"/>
  </cols>
  <sheetData>
    <row r="1" s="8" customFormat="1" x14ac:dyDescent="0.25"/>
    <row r="2" s="8" customFormat="1" x14ac:dyDescent="0.25"/>
    <row r="3" s="8" customFormat="1" x14ac:dyDescent="0.25"/>
    <row r="4" s="8" customFormat="1" x14ac:dyDescent="0.25"/>
    <row r="5" s="8" customFormat="1" x14ac:dyDescent="0.25"/>
  </sheetData>
  <sheetProtection sort="0" autoFilter="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7AA8FB3E-418A-47D6-B8E5-865A40F4947E}">
  <ds:schemaRefs/>
</ds:datastoreItem>
</file>

<file path=customXml/itemProps2.xml><?xml version="1.0" encoding="utf-8"?>
<ds:datastoreItem xmlns:ds="http://schemas.openxmlformats.org/officeDocument/2006/customXml" ds:itemID="{1DEA4C99-4D3D-4B1B-87C6-2C5D3C1ED45B}">
  <ds:schemaRefs/>
</ds:datastoreItem>
</file>

<file path=customXml/itemProps3.xml><?xml version="1.0" encoding="utf-8"?>
<ds:datastoreItem xmlns:ds="http://schemas.openxmlformats.org/officeDocument/2006/customXml" ds:itemID="{45121804-B207-4864-B18F-48401BDD4367}">
  <ds:schemaRefs/>
</ds:datastoreItem>
</file>

<file path=customXml/itemProps4.xml><?xml version="1.0" encoding="utf-8"?>
<ds:datastoreItem xmlns:ds="http://schemas.openxmlformats.org/officeDocument/2006/customXml" ds:itemID="{057D98D9-27A9-426F-964A-682BF3E8D641}">
  <ds:schemaRefs/>
</ds:datastoreItem>
</file>

<file path=customXml/itemProps5.xml><?xml version="1.0" encoding="utf-8"?>
<ds:datastoreItem xmlns:ds="http://schemas.openxmlformats.org/officeDocument/2006/customXml" ds:itemID="{03670356-CAEA-488F-BF8D-D6E98B82FBB3}">
  <ds:schemaRefs/>
</ds:datastoreItem>
</file>

<file path=customXml/itemProps6.xml><?xml version="1.0" encoding="utf-8"?>
<ds:datastoreItem xmlns:ds="http://schemas.openxmlformats.org/officeDocument/2006/customXml" ds:itemID="{08C6F854-6782-4E89-8D93-82E36A6A1FAA}">
  <ds:schemaRefs/>
</ds:datastoreItem>
</file>

<file path=customXml/itemProps7.xml><?xml version="1.0" encoding="utf-8"?>
<ds:datastoreItem xmlns:ds="http://schemas.openxmlformats.org/officeDocument/2006/customXml" ds:itemID="{A14A0F28-34E6-43A5-B6B2-EA4E1C207743}">
  <ds:schemaRefs/>
</ds:datastoreItem>
</file>

<file path=customXml/itemProps8.xml><?xml version="1.0" encoding="utf-8"?>
<ds:datastoreItem xmlns:ds="http://schemas.openxmlformats.org/officeDocument/2006/customXml" ds:itemID="{EB49FB2F-A0D6-423E-8557-A3D3330648C8}">
  <ds:schemaRefs/>
</ds:datastoreItem>
</file>

<file path=customXml/itemProps9.xml><?xml version="1.0" encoding="utf-8"?>
<ds:datastoreItem xmlns:ds="http://schemas.openxmlformats.org/officeDocument/2006/customXml" ds:itemID="{590D8771-1FCC-4303-AC78-62529C52B2F7}">
  <ds:schemaRefs/>
</ds:datastoreItem>
</file>

<file path=customXml/itemProps10.xml><?xml version="1.0" encoding="utf-8"?>
<ds:datastoreItem xmlns:ds="http://schemas.openxmlformats.org/officeDocument/2006/customXml" ds:itemID="{0833732E-A726-404C-B264-84353B8642B3}">
  <ds:schemaRefs/>
</ds:datastoreItem>
</file>

<file path=customXml/itemProps11.xml><?xml version="1.0" encoding="utf-8"?>
<ds:datastoreItem xmlns:ds="http://schemas.openxmlformats.org/officeDocument/2006/customXml" ds:itemID="{34D43D81-D2B4-4B6A-98DD-D88B7B38A792}">
  <ds:schemaRefs/>
</ds:datastoreItem>
</file>

<file path=customXml/itemProps12.xml><?xml version="1.0" encoding="utf-8"?>
<ds:datastoreItem xmlns:ds="http://schemas.openxmlformats.org/officeDocument/2006/customXml" ds:itemID="{AF955874-A074-4C01-BB24-A855146F2982}">
  <ds:schemaRefs/>
</ds:datastoreItem>
</file>

<file path=customXml/itemProps13.xml><?xml version="1.0" encoding="utf-8"?>
<ds:datastoreItem xmlns:ds="http://schemas.openxmlformats.org/officeDocument/2006/customXml" ds:itemID="{37527FD4-FAE3-4845-BDCF-3A9BDA7C0CE4}">
  <ds:schemaRefs/>
</ds:datastoreItem>
</file>

<file path=customXml/itemProps14.xml><?xml version="1.0" encoding="utf-8"?>
<ds:datastoreItem xmlns:ds="http://schemas.openxmlformats.org/officeDocument/2006/customXml" ds:itemID="{5F93BA1A-E41B-4B4D-A1EC-8D255234002F}">
  <ds:schemaRefs/>
</ds:datastoreItem>
</file>

<file path=customXml/itemProps15.xml><?xml version="1.0" encoding="utf-8"?>
<ds:datastoreItem xmlns:ds="http://schemas.openxmlformats.org/officeDocument/2006/customXml" ds:itemID="{B1B6595F-2645-404F-8A05-4D250AD64CE7}">
  <ds:schemaRefs/>
</ds:datastoreItem>
</file>

<file path=customXml/itemProps16.xml><?xml version="1.0" encoding="utf-8"?>
<ds:datastoreItem xmlns:ds="http://schemas.openxmlformats.org/officeDocument/2006/customXml" ds:itemID="{BEECDC5C-4EB7-44EF-9619-0D46A4A36FB3}">
  <ds:schemaRefs>
    <ds:schemaRef ds:uri="http://schemas.microsoft.com/DataMashup"/>
  </ds:schemaRefs>
</ds:datastoreItem>
</file>

<file path=customXml/itemProps17.xml><?xml version="1.0" encoding="utf-8"?>
<ds:datastoreItem xmlns:ds="http://schemas.openxmlformats.org/officeDocument/2006/customXml" ds:itemID="{B67D02AB-8969-42E4-824C-D4E9D4256EEA}">
  <ds:schemaRefs/>
</ds:datastoreItem>
</file>

<file path=customXml/itemProps18.xml><?xml version="1.0" encoding="utf-8"?>
<ds:datastoreItem xmlns:ds="http://schemas.openxmlformats.org/officeDocument/2006/customXml" ds:itemID="{2735A255-A807-4878-89E5-3E0F8FFC18E8}">
  <ds:schemaRefs/>
</ds:datastoreItem>
</file>

<file path=customXml/itemProps19.xml><?xml version="1.0" encoding="utf-8"?>
<ds:datastoreItem xmlns:ds="http://schemas.openxmlformats.org/officeDocument/2006/customXml" ds:itemID="{D7F11A61-98BA-43CB-9127-03B1B613D630}">
  <ds:schemaRefs/>
</ds:datastoreItem>
</file>

<file path=customXml/itemProps20.xml><?xml version="1.0" encoding="utf-8"?>
<ds:datastoreItem xmlns:ds="http://schemas.openxmlformats.org/officeDocument/2006/customXml" ds:itemID="{22D8279C-5E49-4CA9-B80E-65D96441612B}">
  <ds:schemaRefs/>
</ds:datastoreItem>
</file>

<file path=customXml/itemProps21.xml><?xml version="1.0" encoding="utf-8"?>
<ds:datastoreItem xmlns:ds="http://schemas.openxmlformats.org/officeDocument/2006/customXml" ds:itemID="{1F38A23E-CCBD-439C-8C8D-4A467D4606ED}">
  <ds:schemaRefs/>
</ds:datastoreItem>
</file>

<file path=customXml/itemProps22.xml><?xml version="1.0" encoding="utf-8"?>
<ds:datastoreItem xmlns:ds="http://schemas.openxmlformats.org/officeDocument/2006/customXml" ds:itemID="{FC394D12-6F68-4306-8346-FBC900D1880F}">
  <ds:schemaRefs/>
</ds:datastoreItem>
</file>

<file path=customXml/itemProps23.xml><?xml version="1.0" encoding="utf-8"?>
<ds:datastoreItem xmlns:ds="http://schemas.openxmlformats.org/officeDocument/2006/customXml" ds:itemID="{5B8B40C0-7550-4547-B339-B862D2DA4ED0}">
  <ds:schemaRefs/>
</ds:datastoreItem>
</file>

<file path=customXml/itemProps24.xml><?xml version="1.0" encoding="utf-8"?>
<ds:datastoreItem xmlns:ds="http://schemas.openxmlformats.org/officeDocument/2006/customXml" ds:itemID="{984E1FAD-F064-4E56-BE08-583A5BBADC69}">
  <ds:schemaRefs/>
</ds:datastoreItem>
</file>

<file path=customXml/itemProps25.xml><?xml version="1.0" encoding="utf-8"?>
<ds:datastoreItem xmlns:ds="http://schemas.openxmlformats.org/officeDocument/2006/customXml" ds:itemID="{CCFBC05C-6AC9-463A-8AB7-3167585F4AF8}">
  <ds:schemaRefs/>
</ds:datastoreItem>
</file>

<file path=customXml/itemProps26.xml><?xml version="1.0" encoding="utf-8"?>
<ds:datastoreItem xmlns:ds="http://schemas.openxmlformats.org/officeDocument/2006/customXml" ds:itemID="{6A5BF5DB-B256-44DF-8BA5-F6475B110267}">
  <ds:schemaRefs/>
</ds:datastoreItem>
</file>

<file path=customXml/itemProps27.xml><?xml version="1.0" encoding="utf-8"?>
<ds:datastoreItem xmlns:ds="http://schemas.openxmlformats.org/officeDocument/2006/customXml" ds:itemID="{2EDDD577-C33B-4DCD-B2B6-BE8E29F25ED1}">
  <ds:schemaRefs/>
</ds:datastoreItem>
</file>

<file path=customXml/itemProps28.xml><?xml version="1.0" encoding="utf-8"?>
<ds:datastoreItem xmlns:ds="http://schemas.openxmlformats.org/officeDocument/2006/customXml" ds:itemID="{D61ED009-C36B-4FCA-A5E9-DC24A796D544}">
  <ds:schemaRefs/>
</ds:datastoreItem>
</file>

<file path=customXml/itemProps29.xml><?xml version="1.0" encoding="utf-8"?>
<ds:datastoreItem xmlns:ds="http://schemas.openxmlformats.org/officeDocument/2006/customXml" ds:itemID="{48117C40-6B16-4E37-820F-82DE19839F98}">
  <ds:schemaRefs/>
</ds:datastoreItem>
</file>

<file path=customXml/itemProps30.xml><?xml version="1.0" encoding="utf-8"?>
<ds:datastoreItem xmlns:ds="http://schemas.openxmlformats.org/officeDocument/2006/customXml" ds:itemID="{D361D53B-B7D5-4DDE-9314-A8051506B8B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RawData</vt:lpstr>
      <vt:lpstr>Query-CleanedData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Yuthyia</cp:lastModifiedBy>
  <dcterms:created xsi:type="dcterms:W3CDTF">2026-10-17T11:32:55Z</dcterms:created>
  <dcterms:modified xsi:type="dcterms:W3CDTF">2026-10-25T11:50:28Z</dcterms:modified>
</cp:coreProperties>
</file>